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s273\Desktop\self learning\portfolio and VaR and distribution curves and stats\"/>
    </mc:Choice>
  </mc:AlternateContent>
  <xr:revisionPtr revIDLastSave="0" documentId="13_ncr:1_{1680CDFB-6662-48DD-B4D9-E59A9928C140}" xr6:coauthVersionLast="47" xr6:coauthVersionMax="47" xr10:uidLastSave="{00000000-0000-0000-0000-000000000000}"/>
  <bookViews>
    <workbookView xWindow="-110" yWindow="-110" windowWidth="38620" windowHeight="21100" tabRatio="726" activeTab="6" xr2:uid="{00000000-000D-0000-FFFF-FFFF00000000}"/>
  </bookViews>
  <sheets>
    <sheet name="MAIN" sheetId="1" r:id="rId1"/>
    <sheet name="VaR90" sheetId="382" r:id="rId2"/>
    <sheet name="VaR252" sheetId="381" r:id="rId3"/>
    <sheet name="USDJPY" sheetId="377" r:id="rId4"/>
    <sheet name="EURUSD" sheetId="378" r:id="rId5"/>
    <sheet name="SGDJPY" sheetId="379" r:id="rId6"/>
    <sheet name="GBPUSD" sheetId="38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80" l="1"/>
  <c r="I3" i="380"/>
  <c r="I4" i="380"/>
  <c r="I5" i="380"/>
  <c r="E2" i="381" s="1"/>
  <c r="I6" i="380"/>
  <c r="E3" i="381" s="1"/>
  <c r="I7" i="380"/>
  <c r="E4" i="381" s="1"/>
  <c r="I8" i="380"/>
  <c r="E5" i="381" s="1"/>
  <c r="I9" i="380"/>
  <c r="E6" i="381" s="1"/>
  <c r="I10" i="380"/>
  <c r="E7" i="381" s="1"/>
  <c r="I11" i="380"/>
  <c r="E8" i="381" s="1"/>
  <c r="I12" i="380"/>
  <c r="E9" i="381" s="1"/>
  <c r="I13" i="380"/>
  <c r="E10" i="381" s="1"/>
  <c r="I14" i="380"/>
  <c r="E11" i="381" s="1"/>
  <c r="I15" i="380"/>
  <c r="E12" i="381" s="1"/>
  <c r="I16" i="380"/>
  <c r="E13" i="381" s="1"/>
  <c r="I17" i="380"/>
  <c r="E14" i="381" s="1"/>
  <c r="I18" i="380"/>
  <c r="E15" i="381" s="1"/>
  <c r="I19" i="380"/>
  <c r="E16" i="381" s="1"/>
  <c r="I20" i="380"/>
  <c r="E17" i="381" s="1"/>
  <c r="I21" i="380"/>
  <c r="E18" i="381" s="1"/>
  <c r="I22" i="380"/>
  <c r="E19" i="381" s="1"/>
  <c r="I23" i="380"/>
  <c r="E20" i="381" s="1"/>
  <c r="I24" i="380"/>
  <c r="E21" i="381" s="1"/>
  <c r="I25" i="380"/>
  <c r="E22" i="381" s="1"/>
  <c r="I26" i="380"/>
  <c r="E23" i="381" s="1"/>
  <c r="I27" i="380"/>
  <c r="E24" i="381" s="1"/>
  <c r="I28" i="380"/>
  <c r="E25" i="381" s="1"/>
  <c r="I29" i="380"/>
  <c r="E26" i="381" s="1"/>
  <c r="I30" i="380"/>
  <c r="E27" i="381" s="1"/>
  <c r="I31" i="380"/>
  <c r="E28" i="381" s="1"/>
  <c r="I32" i="380"/>
  <c r="E29" i="381" s="1"/>
  <c r="I33" i="380"/>
  <c r="E30" i="381" s="1"/>
  <c r="I34" i="380"/>
  <c r="E31" i="381" s="1"/>
  <c r="I35" i="380"/>
  <c r="E32" i="381" s="1"/>
  <c r="I36" i="380"/>
  <c r="E33" i="381" s="1"/>
  <c r="I37" i="380"/>
  <c r="E34" i="381" s="1"/>
  <c r="I38" i="380"/>
  <c r="E35" i="381" s="1"/>
  <c r="I39" i="380"/>
  <c r="E36" i="381" s="1"/>
  <c r="I40" i="380"/>
  <c r="E37" i="381" s="1"/>
  <c r="I41" i="380"/>
  <c r="E38" i="381" s="1"/>
  <c r="I42" i="380"/>
  <c r="E39" i="381" s="1"/>
  <c r="I43" i="380"/>
  <c r="E40" i="381" s="1"/>
  <c r="I44" i="380"/>
  <c r="E41" i="381" s="1"/>
  <c r="I45" i="380"/>
  <c r="E42" i="381" s="1"/>
  <c r="I46" i="380"/>
  <c r="E43" i="381" s="1"/>
  <c r="I47" i="380"/>
  <c r="E44" i="381" s="1"/>
  <c r="I48" i="380"/>
  <c r="E45" i="381" s="1"/>
  <c r="I49" i="380"/>
  <c r="E46" i="381" s="1"/>
  <c r="I50" i="380"/>
  <c r="E47" i="381" s="1"/>
  <c r="I51" i="380"/>
  <c r="E48" i="381" s="1"/>
  <c r="I52" i="380"/>
  <c r="E49" i="381" s="1"/>
  <c r="I53" i="380"/>
  <c r="E50" i="381" s="1"/>
  <c r="I54" i="380"/>
  <c r="E51" i="381" s="1"/>
  <c r="I55" i="380"/>
  <c r="E52" i="381" s="1"/>
  <c r="I56" i="380"/>
  <c r="E53" i="381" s="1"/>
  <c r="I57" i="380"/>
  <c r="E54" i="381" s="1"/>
  <c r="I58" i="380"/>
  <c r="E55" i="381" s="1"/>
  <c r="I59" i="380"/>
  <c r="E56" i="381" s="1"/>
  <c r="I60" i="380"/>
  <c r="E57" i="381" s="1"/>
  <c r="I61" i="380"/>
  <c r="E58" i="381" s="1"/>
  <c r="I62" i="380"/>
  <c r="E59" i="381" s="1"/>
  <c r="I63" i="380"/>
  <c r="E60" i="381" s="1"/>
  <c r="I64" i="380"/>
  <c r="E61" i="381" s="1"/>
  <c r="I65" i="380"/>
  <c r="E62" i="381" s="1"/>
  <c r="I66" i="380"/>
  <c r="E63" i="381" s="1"/>
  <c r="I67" i="380"/>
  <c r="E64" i="381" s="1"/>
  <c r="I68" i="380"/>
  <c r="E65" i="381" s="1"/>
  <c r="I69" i="380"/>
  <c r="E66" i="381" s="1"/>
  <c r="I70" i="380"/>
  <c r="E67" i="381" s="1"/>
  <c r="I71" i="380"/>
  <c r="E68" i="381" s="1"/>
  <c r="I72" i="380"/>
  <c r="E69" i="381" s="1"/>
  <c r="I73" i="380"/>
  <c r="E70" i="381" s="1"/>
  <c r="I74" i="380"/>
  <c r="E71" i="381" s="1"/>
  <c r="I75" i="380"/>
  <c r="E72" i="381" s="1"/>
  <c r="I76" i="380"/>
  <c r="E73" i="381" s="1"/>
  <c r="I77" i="380"/>
  <c r="E74" i="381" s="1"/>
  <c r="I78" i="380"/>
  <c r="E75" i="381" s="1"/>
  <c r="I79" i="380"/>
  <c r="E76" i="381" s="1"/>
  <c r="I80" i="380"/>
  <c r="E77" i="381" s="1"/>
  <c r="I81" i="380"/>
  <c r="E78" i="381" s="1"/>
  <c r="I82" i="380"/>
  <c r="E79" i="381" s="1"/>
  <c r="I83" i="380"/>
  <c r="E80" i="381" s="1"/>
  <c r="I84" i="380"/>
  <c r="E81" i="381" s="1"/>
  <c r="I85" i="380"/>
  <c r="E82" i="381" s="1"/>
  <c r="I86" i="380"/>
  <c r="E83" i="381" s="1"/>
  <c r="I87" i="380"/>
  <c r="E84" i="381" s="1"/>
  <c r="I88" i="380"/>
  <c r="E85" i="381" s="1"/>
  <c r="I89" i="380"/>
  <c r="E86" i="381" s="1"/>
  <c r="I90" i="380"/>
  <c r="E87" i="381" s="1"/>
  <c r="I91" i="380"/>
  <c r="E88" i="381" s="1"/>
  <c r="I92" i="380"/>
  <c r="E89" i="381" s="1"/>
  <c r="I93" i="380"/>
  <c r="E90" i="381" s="1"/>
  <c r="I94" i="380"/>
  <c r="E91" i="381" s="1"/>
  <c r="I95" i="380"/>
  <c r="E92" i="381" s="1"/>
  <c r="I96" i="380"/>
  <c r="E93" i="381" s="1"/>
  <c r="I97" i="380"/>
  <c r="E94" i="381" s="1"/>
  <c r="I98" i="380"/>
  <c r="E95" i="381" s="1"/>
  <c r="I99" i="380"/>
  <c r="E96" i="381" s="1"/>
  <c r="I100" i="380"/>
  <c r="E97" i="381" s="1"/>
  <c r="I101" i="380"/>
  <c r="E98" i="381" s="1"/>
  <c r="I102" i="380"/>
  <c r="E99" i="381" s="1"/>
  <c r="I103" i="380"/>
  <c r="E100" i="381" s="1"/>
  <c r="I104" i="380"/>
  <c r="E101" i="381" s="1"/>
  <c r="I105" i="380"/>
  <c r="E102" i="381" s="1"/>
  <c r="I106" i="380"/>
  <c r="E103" i="381" s="1"/>
  <c r="I107" i="380"/>
  <c r="E104" i="381" s="1"/>
  <c r="I108" i="380"/>
  <c r="E105" i="381" s="1"/>
  <c r="I109" i="380"/>
  <c r="E106" i="381" s="1"/>
  <c r="I110" i="380"/>
  <c r="E107" i="381" s="1"/>
  <c r="I111" i="380"/>
  <c r="E108" i="381" s="1"/>
  <c r="I112" i="380"/>
  <c r="E109" i="381" s="1"/>
  <c r="I113" i="380"/>
  <c r="E110" i="381" s="1"/>
  <c r="I114" i="380"/>
  <c r="E111" i="381" s="1"/>
  <c r="I115" i="380"/>
  <c r="E112" i="381" s="1"/>
  <c r="I116" i="380"/>
  <c r="E113" i="381" s="1"/>
  <c r="I117" i="380"/>
  <c r="E114" i="381" s="1"/>
  <c r="I118" i="380"/>
  <c r="E115" i="381" s="1"/>
  <c r="I119" i="380"/>
  <c r="E116" i="381" s="1"/>
  <c r="I120" i="380"/>
  <c r="E117" i="381" s="1"/>
  <c r="I121" i="380"/>
  <c r="E118" i="381" s="1"/>
  <c r="I122" i="380"/>
  <c r="E119" i="381" s="1"/>
  <c r="I123" i="380"/>
  <c r="E120" i="381" s="1"/>
  <c r="I124" i="380"/>
  <c r="E121" i="381" s="1"/>
  <c r="I125" i="380"/>
  <c r="E122" i="381" s="1"/>
  <c r="I126" i="380"/>
  <c r="E123" i="381" s="1"/>
  <c r="I127" i="380"/>
  <c r="E124" i="381" s="1"/>
  <c r="I128" i="380"/>
  <c r="E125" i="381" s="1"/>
  <c r="I129" i="380"/>
  <c r="E126" i="381" s="1"/>
  <c r="I130" i="380"/>
  <c r="E127" i="381" s="1"/>
  <c r="I131" i="380"/>
  <c r="E128" i="381" s="1"/>
  <c r="I132" i="380"/>
  <c r="E129" i="381" s="1"/>
  <c r="I133" i="380"/>
  <c r="E130" i="381" s="1"/>
  <c r="I134" i="380"/>
  <c r="E131" i="381" s="1"/>
  <c r="I135" i="380"/>
  <c r="E132" i="381" s="1"/>
  <c r="I136" i="380"/>
  <c r="E133" i="381" s="1"/>
  <c r="I137" i="380"/>
  <c r="E134" i="381" s="1"/>
  <c r="I138" i="380"/>
  <c r="E135" i="381" s="1"/>
  <c r="I139" i="380"/>
  <c r="E136" i="381" s="1"/>
  <c r="I140" i="380"/>
  <c r="E137" i="381" s="1"/>
  <c r="I141" i="380"/>
  <c r="E138" i="381" s="1"/>
  <c r="I142" i="380"/>
  <c r="E139" i="381" s="1"/>
  <c r="I143" i="380"/>
  <c r="E140" i="381" s="1"/>
  <c r="I144" i="380"/>
  <c r="E141" i="381" s="1"/>
  <c r="I145" i="380"/>
  <c r="E142" i="381" s="1"/>
  <c r="I146" i="380"/>
  <c r="E143" i="381" s="1"/>
  <c r="I147" i="380"/>
  <c r="E144" i="381" s="1"/>
  <c r="I148" i="380"/>
  <c r="E145" i="381" s="1"/>
  <c r="I149" i="380"/>
  <c r="E146" i="381" s="1"/>
  <c r="I150" i="380"/>
  <c r="E147" i="381" s="1"/>
  <c r="I151" i="380"/>
  <c r="E148" i="381" s="1"/>
  <c r="I152" i="380"/>
  <c r="E149" i="381" s="1"/>
  <c r="I153" i="380"/>
  <c r="E150" i="381" s="1"/>
  <c r="I154" i="380"/>
  <c r="E151" i="381" s="1"/>
  <c r="I155" i="380"/>
  <c r="E152" i="381" s="1"/>
  <c r="I156" i="380"/>
  <c r="E153" i="381" s="1"/>
  <c r="I157" i="380"/>
  <c r="E154" i="381" s="1"/>
  <c r="I158" i="380"/>
  <c r="E155" i="381" s="1"/>
  <c r="I159" i="380"/>
  <c r="E156" i="381" s="1"/>
  <c r="I160" i="380"/>
  <c r="E157" i="381" s="1"/>
  <c r="I161" i="380"/>
  <c r="E158" i="381" s="1"/>
  <c r="I162" i="380"/>
  <c r="E159" i="381" s="1"/>
  <c r="I163" i="380"/>
  <c r="E160" i="381" s="1"/>
  <c r="I164" i="380"/>
  <c r="E161" i="381" s="1"/>
  <c r="I165" i="380"/>
  <c r="E162" i="381" s="1"/>
  <c r="I166" i="380"/>
  <c r="E163" i="381" s="1"/>
  <c r="I167" i="380"/>
  <c r="E164" i="381" s="1"/>
  <c r="I168" i="380"/>
  <c r="E165" i="381" s="1"/>
  <c r="I169" i="380"/>
  <c r="E166" i="381" s="1"/>
  <c r="I170" i="380"/>
  <c r="E167" i="381" s="1"/>
  <c r="I171" i="380"/>
  <c r="E168" i="381" s="1"/>
  <c r="I172" i="380"/>
  <c r="E169" i="381" s="1"/>
  <c r="I173" i="380"/>
  <c r="E170" i="381" s="1"/>
  <c r="I174" i="380"/>
  <c r="E171" i="381" s="1"/>
  <c r="I175" i="380"/>
  <c r="E172" i="381" s="1"/>
  <c r="I176" i="380"/>
  <c r="E173" i="381" s="1"/>
  <c r="I177" i="380"/>
  <c r="E174" i="381" s="1"/>
  <c r="I178" i="380"/>
  <c r="E175" i="381" s="1"/>
  <c r="I179" i="380"/>
  <c r="E176" i="381" s="1"/>
  <c r="I180" i="380"/>
  <c r="E177" i="381" s="1"/>
  <c r="I181" i="380"/>
  <c r="E178" i="381" s="1"/>
  <c r="I182" i="380"/>
  <c r="E179" i="381" s="1"/>
  <c r="I183" i="380"/>
  <c r="E180" i="381" s="1"/>
  <c r="I184" i="380"/>
  <c r="E181" i="381" s="1"/>
  <c r="I185" i="380"/>
  <c r="E182" i="381" s="1"/>
  <c r="I186" i="380"/>
  <c r="E183" i="381" s="1"/>
  <c r="I187" i="380"/>
  <c r="E184" i="381" s="1"/>
  <c r="I188" i="380"/>
  <c r="E185" i="381" s="1"/>
  <c r="I189" i="380"/>
  <c r="E186" i="381" s="1"/>
  <c r="I190" i="380"/>
  <c r="E187" i="381" s="1"/>
  <c r="I191" i="380"/>
  <c r="E188" i="381" s="1"/>
  <c r="I192" i="380"/>
  <c r="E189" i="381" s="1"/>
  <c r="I193" i="380"/>
  <c r="E190" i="381" s="1"/>
  <c r="I194" i="380"/>
  <c r="E191" i="381" s="1"/>
  <c r="I195" i="380"/>
  <c r="E192" i="381" s="1"/>
  <c r="I196" i="380"/>
  <c r="E193" i="381" s="1"/>
  <c r="I197" i="380"/>
  <c r="E194" i="381" s="1"/>
  <c r="I198" i="380"/>
  <c r="E195" i="381" s="1"/>
  <c r="I199" i="380"/>
  <c r="E196" i="381" s="1"/>
  <c r="I200" i="380"/>
  <c r="E197" i="381" s="1"/>
  <c r="I201" i="380"/>
  <c r="E198" i="381" s="1"/>
  <c r="I202" i="380"/>
  <c r="E199" i="381" s="1"/>
  <c r="I203" i="380"/>
  <c r="E200" i="381" s="1"/>
  <c r="I204" i="380"/>
  <c r="E201" i="381" s="1"/>
  <c r="I205" i="380"/>
  <c r="E202" i="381" s="1"/>
  <c r="I206" i="380"/>
  <c r="E203" i="381" s="1"/>
  <c r="I207" i="380"/>
  <c r="E204" i="381" s="1"/>
  <c r="I208" i="380"/>
  <c r="E205" i="381" s="1"/>
  <c r="I209" i="380"/>
  <c r="E206" i="381" s="1"/>
  <c r="I210" i="380"/>
  <c r="E207" i="381" s="1"/>
  <c r="I211" i="380"/>
  <c r="E208" i="381" s="1"/>
  <c r="I212" i="380"/>
  <c r="E209" i="381" s="1"/>
  <c r="I213" i="380"/>
  <c r="E210" i="381" s="1"/>
  <c r="I214" i="380"/>
  <c r="E211" i="381" s="1"/>
  <c r="I215" i="380"/>
  <c r="E212" i="381" s="1"/>
  <c r="I216" i="380"/>
  <c r="E213" i="381" s="1"/>
  <c r="I217" i="380"/>
  <c r="E214" i="381" s="1"/>
  <c r="I218" i="380"/>
  <c r="E215" i="381" s="1"/>
  <c r="I219" i="380"/>
  <c r="E216" i="381" s="1"/>
  <c r="I220" i="380"/>
  <c r="E217" i="381" s="1"/>
  <c r="I221" i="380"/>
  <c r="E218" i="381" s="1"/>
  <c r="I222" i="380"/>
  <c r="E219" i="381" s="1"/>
  <c r="I223" i="380"/>
  <c r="E220" i="381" s="1"/>
  <c r="I224" i="380"/>
  <c r="E221" i="381" s="1"/>
  <c r="I225" i="380"/>
  <c r="E222" i="381" s="1"/>
  <c r="I226" i="380"/>
  <c r="E223" i="381" s="1"/>
  <c r="I227" i="380"/>
  <c r="E224" i="381" s="1"/>
  <c r="I228" i="380"/>
  <c r="E225" i="381" s="1"/>
  <c r="I229" i="380"/>
  <c r="E226" i="381" s="1"/>
  <c r="I230" i="380"/>
  <c r="E227" i="381" s="1"/>
  <c r="I231" i="380"/>
  <c r="E228" i="381" s="1"/>
  <c r="I232" i="380"/>
  <c r="E229" i="381" s="1"/>
  <c r="I233" i="380"/>
  <c r="E230" i="381" s="1"/>
  <c r="I234" i="380"/>
  <c r="E231" i="381" s="1"/>
  <c r="I235" i="380"/>
  <c r="E232" i="381" s="1"/>
  <c r="I236" i="380"/>
  <c r="E233" i="381" s="1"/>
  <c r="I237" i="380"/>
  <c r="E234" i="381" s="1"/>
  <c r="I238" i="380"/>
  <c r="E235" i="381" s="1"/>
  <c r="I239" i="380"/>
  <c r="E236" i="381" s="1"/>
  <c r="I240" i="380"/>
  <c r="E237" i="381" s="1"/>
  <c r="I241" i="380"/>
  <c r="E238" i="381" s="1"/>
  <c r="I242" i="380"/>
  <c r="E239" i="381" s="1"/>
  <c r="I243" i="380"/>
  <c r="E240" i="381" s="1"/>
  <c r="I244" i="380"/>
  <c r="E241" i="381" s="1"/>
  <c r="I245" i="380"/>
  <c r="E242" i="381" s="1"/>
  <c r="I246" i="380"/>
  <c r="E243" i="381" s="1"/>
  <c r="I247" i="380"/>
  <c r="E244" i="381" s="1"/>
  <c r="I248" i="380"/>
  <c r="E245" i="381" s="1"/>
  <c r="I249" i="380"/>
  <c r="E246" i="381" s="1"/>
  <c r="I250" i="380"/>
  <c r="E247" i="381" s="1"/>
  <c r="I251" i="380"/>
  <c r="E248" i="381" s="1"/>
  <c r="I252" i="380"/>
  <c r="E249" i="381" s="1"/>
  <c r="I253" i="380"/>
  <c r="E250" i="381" s="1"/>
  <c r="I254" i="380"/>
  <c r="E251" i="381" s="1"/>
  <c r="I255" i="380"/>
  <c r="E252" i="381" s="1"/>
  <c r="I256" i="380"/>
  <c r="E253" i="381" s="1"/>
  <c r="I2" i="379"/>
  <c r="I3" i="379"/>
  <c r="I4" i="379"/>
  <c r="I5" i="379"/>
  <c r="D2" i="381" s="1"/>
  <c r="I6" i="379"/>
  <c r="D3" i="381" s="1"/>
  <c r="I7" i="379"/>
  <c r="D4" i="381" s="1"/>
  <c r="I8" i="379"/>
  <c r="D5" i="381" s="1"/>
  <c r="I9" i="379"/>
  <c r="D6" i="381" s="1"/>
  <c r="I10" i="379"/>
  <c r="D7" i="381" s="1"/>
  <c r="I11" i="379"/>
  <c r="D8" i="381" s="1"/>
  <c r="I12" i="379"/>
  <c r="D9" i="381" s="1"/>
  <c r="I13" i="379"/>
  <c r="D10" i="381" s="1"/>
  <c r="I14" i="379"/>
  <c r="D11" i="381" s="1"/>
  <c r="I15" i="379"/>
  <c r="D12" i="381" s="1"/>
  <c r="I16" i="379"/>
  <c r="D13" i="381" s="1"/>
  <c r="I17" i="379"/>
  <c r="D14" i="381" s="1"/>
  <c r="I18" i="379"/>
  <c r="D15" i="381" s="1"/>
  <c r="I19" i="379"/>
  <c r="D16" i="381" s="1"/>
  <c r="I20" i="379"/>
  <c r="D17" i="381" s="1"/>
  <c r="I21" i="379"/>
  <c r="D18" i="381" s="1"/>
  <c r="I22" i="379"/>
  <c r="D19" i="381" s="1"/>
  <c r="I23" i="379"/>
  <c r="D20" i="381" s="1"/>
  <c r="I24" i="379"/>
  <c r="D21" i="381" s="1"/>
  <c r="I25" i="379"/>
  <c r="D22" i="381" s="1"/>
  <c r="I26" i="379"/>
  <c r="D23" i="381" s="1"/>
  <c r="I27" i="379"/>
  <c r="D24" i="381" s="1"/>
  <c r="I28" i="379"/>
  <c r="D25" i="381" s="1"/>
  <c r="I29" i="379"/>
  <c r="D26" i="381" s="1"/>
  <c r="I30" i="379"/>
  <c r="D27" i="381" s="1"/>
  <c r="I31" i="379"/>
  <c r="D28" i="381" s="1"/>
  <c r="I32" i="379"/>
  <c r="D29" i="381" s="1"/>
  <c r="I33" i="379"/>
  <c r="D30" i="381" s="1"/>
  <c r="I34" i="379"/>
  <c r="D31" i="381" s="1"/>
  <c r="I35" i="379"/>
  <c r="D32" i="381" s="1"/>
  <c r="I36" i="379"/>
  <c r="D33" i="381" s="1"/>
  <c r="I37" i="379"/>
  <c r="D34" i="381" s="1"/>
  <c r="I38" i="379"/>
  <c r="D35" i="381" s="1"/>
  <c r="I39" i="379"/>
  <c r="D36" i="381" s="1"/>
  <c r="I40" i="379"/>
  <c r="D37" i="381" s="1"/>
  <c r="I41" i="379"/>
  <c r="D38" i="381" s="1"/>
  <c r="I42" i="379"/>
  <c r="D39" i="381" s="1"/>
  <c r="I43" i="379"/>
  <c r="D40" i="381" s="1"/>
  <c r="I44" i="379"/>
  <c r="D41" i="381" s="1"/>
  <c r="I45" i="379"/>
  <c r="D42" i="381" s="1"/>
  <c r="I46" i="379"/>
  <c r="D43" i="381" s="1"/>
  <c r="I47" i="379"/>
  <c r="D44" i="381" s="1"/>
  <c r="I48" i="379"/>
  <c r="D45" i="381" s="1"/>
  <c r="I49" i="379"/>
  <c r="D46" i="381" s="1"/>
  <c r="I50" i="379"/>
  <c r="D47" i="381" s="1"/>
  <c r="I51" i="379"/>
  <c r="D48" i="381" s="1"/>
  <c r="I52" i="379"/>
  <c r="D49" i="381" s="1"/>
  <c r="I53" i="379"/>
  <c r="D50" i="381" s="1"/>
  <c r="I54" i="379"/>
  <c r="D51" i="381" s="1"/>
  <c r="I55" i="379"/>
  <c r="D52" i="381" s="1"/>
  <c r="I56" i="379"/>
  <c r="D53" i="381" s="1"/>
  <c r="I57" i="379"/>
  <c r="D54" i="381" s="1"/>
  <c r="I58" i="379"/>
  <c r="D55" i="381" s="1"/>
  <c r="I59" i="379"/>
  <c r="D56" i="381" s="1"/>
  <c r="I60" i="379"/>
  <c r="D57" i="381" s="1"/>
  <c r="I61" i="379"/>
  <c r="D58" i="381" s="1"/>
  <c r="I62" i="379"/>
  <c r="D59" i="381" s="1"/>
  <c r="I63" i="379"/>
  <c r="D60" i="381" s="1"/>
  <c r="I64" i="379"/>
  <c r="D61" i="381" s="1"/>
  <c r="I65" i="379"/>
  <c r="D62" i="381" s="1"/>
  <c r="I66" i="379"/>
  <c r="D63" i="381" s="1"/>
  <c r="I67" i="379"/>
  <c r="D64" i="381" s="1"/>
  <c r="I68" i="379"/>
  <c r="D65" i="381" s="1"/>
  <c r="I69" i="379"/>
  <c r="D66" i="381" s="1"/>
  <c r="I70" i="379"/>
  <c r="D67" i="381" s="1"/>
  <c r="I71" i="379"/>
  <c r="D68" i="381" s="1"/>
  <c r="I72" i="379"/>
  <c r="D69" i="381" s="1"/>
  <c r="I73" i="379"/>
  <c r="D70" i="381" s="1"/>
  <c r="I74" i="379"/>
  <c r="D71" i="381" s="1"/>
  <c r="I75" i="379"/>
  <c r="D72" i="381" s="1"/>
  <c r="I76" i="379"/>
  <c r="D73" i="381" s="1"/>
  <c r="I77" i="379"/>
  <c r="D74" i="381" s="1"/>
  <c r="I78" i="379"/>
  <c r="D75" i="381" s="1"/>
  <c r="I79" i="379"/>
  <c r="D76" i="381" s="1"/>
  <c r="I80" i="379"/>
  <c r="D77" i="381" s="1"/>
  <c r="I81" i="379"/>
  <c r="D78" i="381" s="1"/>
  <c r="I82" i="379"/>
  <c r="D79" i="381" s="1"/>
  <c r="I83" i="379"/>
  <c r="D80" i="381" s="1"/>
  <c r="I84" i="379"/>
  <c r="D81" i="381" s="1"/>
  <c r="I85" i="379"/>
  <c r="D82" i="381" s="1"/>
  <c r="I86" i="379"/>
  <c r="D83" i="381" s="1"/>
  <c r="I87" i="379"/>
  <c r="D84" i="381" s="1"/>
  <c r="I88" i="379"/>
  <c r="D85" i="381" s="1"/>
  <c r="I89" i="379"/>
  <c r="D86" i="381" s="1"/>
  <c r="I90" i="379"/>
  <c r="D87" i="381" s="1"/>
  <c r="I91" i="379"/>
  <c r="D88" i="381" s="1"/>
  <c r="I92" i="379"/>
  <c r="D89" i="381" s="1"/>
  <c r="I93" i="379"/>
  <c r="D90" i="381" s="1"/>
  <c r="I94" i="379"/>
  <c r="D91" i="381" s="1"/>
  <c r="I95" i="379"/>
  <c r="D92" i="381" s="1"/>
  <c r="I96" i="379"/>
  <c r="D93" i="381" s="1"/>
  <c r="I97" i="379"/>
  <c r="D94" i="381" s="1"/>
  <c r="I98" i="379"/>
  <c r="D95" i="381" s="1"/>
  <c r="I99" i="379"/>
  <c r="D96" i="381" s="1"/>
  <c r="I100" i="379"/>
  <c r="D97" i="381" s="1"/>
  <c r="I101" i="379"/>
  <c r="D98" i="381" s="1"/>
  <c r="I102" i="379"/>
  <c r="D99" i="381" s="1"/>
  <c r="I103" i="379"/>
  <c r="D100" i="381" s="1"/>
  <c r="I104" i="379"/>
  <c r="D101" i="381" s="1"/>
  <c r="I105" i="379"/>
  <c r="D102" i="381" s="1"/>
  <c r="I106" i="379"/>
  <c r="D103" i="381" s="1"/>
  <c r="I107" i="379"/>
  <c r="D104" i="381" s="1"/>
  <c r="I108" i="379"/>
  <c r="D105" i="381" s="1"/>
  <c r="I109" i="379"/>
  <c r="D106" i="381" s="1"/>
  <c r="I110" i="379"/>
  <c r="D107" i="381" s="1"/>
  <c r="I111" i="379"/>
  <c r="D108" i="381" s="1"/>
  <c r="I112" i="379"/>
  <c r="D109" i="381" s="1"/>
  <c r="I113" i="379"/>
  <c r="D110" i="381" s="1"/>
  <c r="I114" i="379"/>
  <c r="D111" i="381" s="1"/>
  <c r="I115" i="379"/>
  <c r="D112" i="381" s="1"/>
  <c r="I116" i="379"/>
  <c r="D113" i="381" s="1"/>
  <c r="I117" i="379"/>
  <c r="D114" i="381" s="1"/>
  <c r="I118" i="379"/>
  <c r="D115" i="381" s="1"/>
  <c r="I119" i="379"/>
  <c r="D116" i="381" s="1"/>
  <c r="I120" i="379"/>
  <c r="D117" i="381" s="1"/>
  <c r="I121" i="379"/>
  <c r="D118" i="381" s="1"/>
  <c r="I122" i="379"/>
  <c r="D119" i="381" s="1"/>
  <c r="I123" i="379"/>
  <c r="D120" i="381" s="1"/>
  <c r="I124" i="379"/>
  <c r="D121" i="381" s="1"/>
  <c r="I125" i="379"/>
  <c r="D122" i="381" s="1"/>
  <c r="I126" i="379"/>
  <c r="D123" i="381" s="1"/>
  <c r="I127" i="379"/>
  <c r="D124" i="381" s="1"/>
  <c r="I128" i="379"/>
  <c r="D125" i="381" s="1"/>
  <c r="I129" i="379"/>
  <c r="D126" i="381" s="1"/>
  <c r="I130" i="379"/>
  <c r="D127" i="381" s="1"/>
  <c r="I131" i="379"/>
  <c r="D128" i="381" s="1"/>
  <c r="I132" i="379"/>
  <c r="D129" i="381" s="1"/>
  <c r="I133" i="379"/>
  <c r="D130" i="381" s="1"/>
  <c r="I134" i="379"/>
  <c r="D131" i="381" s="1"/>
  <c r="I135" i="379"/>
  <c r="D132" i="381" s="1"/>
  <c r="I136" i="379"/>
  <c r="D133" i="381" s="1"/>
  <c r="I137" i="379"/>
  <c r="D134" i="381" s="1"/>
  <c r="I138" i="379"/>
  <c r="D135" i="381" s="1"/>
  <c r="I139" i="379"/>
  <c r="D136" i="381" s="1"/>
  <c r="I140" i="379"/>
  <c r="D137" i="381" s="1"/>
  <c r="I141" i="379"/>
  <c r="D138" i="381" s="1"/>
  <c r="I142" i="379"/>
  <c r="D139" i="381" s="1"/>
  <c r="I143" i="379"/>
  <c r="D140" i="381" s="1"/>
  <c r="I144" i="379"/>
  <c r="D141" i="381" s="1"/>
  <c r="I145" i="379"/>
  <c r="D142" i="381" s="1"/>
  <c r="I146" i="379"/>
  <c r="D143" i="381" s="1"/>
  <c r="I147" i="379"/>
  <c r="D144" i="381" s="1"/>
  <c r="I148" i="379"/>
  <c r="D145" i="381" s="1"/>
  <c r="I149" i="379"/>
  <c r="D146" i="381" s="1"/>
  <c r="I150" i="379"/>
  <c r="D147" i="381" s="1"/>
  <c r="I151" i="379"/>
  <c r="D148" i="381" s="1"/>
  <c r="I152" i="379"/>
  <c r="D149" i="381" s="1"/>
  <c r="I153" i="379"/>
  <c r="D150" i="381" s="1"/>
  <c r="I154" i="379"/>
  <c r="D151" i="381" s="1"/>
  <c r="I155" i="379"/>
  <c r="D152" i="381" s="1"/>
  <c r="I156" i="379"/>
  <c r="D153" i="381" s="1"/>
  <c r="I157" i="379"/>
  <c r="D154" i="381" s="1"/>
  <c r="I158" i="379"/>
  <c r="D155" i="381" s="1"/>
  <c r="I159" i="379"/>
  <c r="D156" i="381" s="1"/>
  <c r="I160" i="379"/>
  <c r="D157" i="381" s="1"/>
  <c r="I161" i="379"/>
  <c r="D158" i="381" s="1"/>
  <c r="I162" i="379"/>
  <c r="D159" i="381" s="1"/>
  <c r="I163" i="379"/>
  <c r="D160" i="381" s="1"/>
  <c r="I164" i="379"/>
  <c r="D161" i="381" s="1"/>
  <c r="I165" i="379"/>
  <c r="D162" i="381" s="1"/>
  <c r="I166" i="379"/>
  <c r="D163" i="381" s="1"/>
  <c r="I167" i="379"/>
  <c r="D164" i="381" s="1"/>
  <c r="I168" i="379"/>
  <c r="D165" i="381" s="1"/>
  <c r="I169" i="379"/>
  <c r="D166" i="381" s="1"/>
  <c r="I170" i="379"/>
  <c r="D167" i="381" s="1"/>
  <c r="I171" i="379"/>
  <c r="D168" i="381" s="1"/>
  <c r="I172" i="379"/>
  <c r="D169" i="381" s="1"/>
  <c r="I173" i="379"/>
  <c r="D170" i="381" s="1"/>
  <c r="I174" i="379"/>
  <c r="D171" i="381" s="1"/>
  <c r="I175" i="379"/>
  <c r="D172" i="381" s="1"/>
  <c r="I176" i="379"/>
  <c r="D173" i="381" s="1"/>
  <c r="I177" i="379"/>
  <c r="D174" i="381" s="1"/>
  <c r="I178" i="379"/>
  <c r="D175" i="381" s="1"/>
  <c r="I179" i="379"/>
  <c r="D176" i="381" s="1"/>
  <c r="I180" i="379"/>
  <c r="D177" i="381" s="1"/>
  <c r="I181" i="379"/>
  <c r="D178" i="381" s="1"/>
  <c r="I182" i="379"/>
  <c r="D179" i="381" s="1"/>
  <c r="I183" i="379"/>
  <c r="D180" i="381" s="1"/>
  <c r="I184" i="379"/>
  <c r="D181" i="381" s="1"/>
  <c r="I185" i="379"/>
  <c r="D182" i="381" s="1"/>
  <c r="I186" i="379"/>
  <c r="D183" i="381" s="1"/>
  <c r="I187" i="379"/>
  <c r="D184" i="381" s="1"/>
  <c r="I188" i="379"/>
  <c r="D185" i="381" s="1"/>
  <c r="I189" i="379"/>
  <c r="D186" i="381" s="1"/>
  <c r="I190" i="379"/>
  <c r="D187" i="381" s="1"/>
  <c r="I191" i="379"/>
  <c r="D188" i="381" s="1"/>
  <c r="I192" i="379"/>
  <c r="D189" i="381" s="1"/>
  <c r="I193" i="379"/>
  <c r="D190" i="381" s="1"/>
  <c r="I194" i="379"/>
  <c r="D191" i="381" s="1"/>
  <c r="I195" i="379"/>
  <c r="D192" i="381" s="1"/>
  <c r="I196" i="379"/>
  <c r="D193" i="381" s="1"/>
  <c r="I197" i="379"/>
  <c r="D194" i="381" s="1"/>
  <c r="I198" i="379"/>
  <c r="D195" i="381" s="1"/>
  <c r="I199" i="379"/>
  <c r="D196" i="381" s="1"/>
  <c r="I200" i="379"/>
  <c r="D197" i="381" s="1"/>
  <c r="I201" i="379"/>
  <c r="D198" i="381" s="1"/>
  <c r="I202" i="379"/>
  <c r="D199" i="381" s="1"/>
  <c r="I203" i="379"/>
  <c r="D200" i="381" s="1"/>
  <c r="I204" i="379"/>
  <c r="D201" i="381" s="1"/>
  <c r="I205" i="379"/>
  <c r="D202" i="381" s="1"/>
  <c r="I206" i="379"/>
  <c r="D203" i="381" s="1"/>
  <c r="I207" i="379"/>
  <c r="D204" i="381" s="1"/>
  <c r="I208" i="379"/>
  <c r="D205" i="381" s="1"/>
  <c r="I209" i="379"/>
  <c r="D206" i="381" s="1"/>
  <c r="I210" i="379"/>
  <c r="D207" i="381" s="1"/>
  <c r="I211" i="379"/>
  <c r="D208" i="381" s="1"/>
  <c r="I212" i="379"/>
  <c r="D209" i="381" s="1"/>
  <c r="I213" i="379"/>
  <c r="D210" i="381" s="1"/>
  <c r="I214" i="379"/>
  <c r="D211" i="381" s="1"/>
  <c r="I215" i="379"/>
  <c r="D212" i="381" s="1"/>
  <c r="I216" i="379"/>
  <c r="D213" i="381" s="1"/>
  <c r="I217" i="379"/>
  <c r="D214" i="381" s="1"/>
  <c r="I218" i="379"/>
  <c r="D215" i="381" s="1"/>
  <c r="I219" i="379"/>
  <c r="D216" i="381" s="1"/>
  <c r="I220" i="379"/>
  <c r="D217" i="381" s="1"/>
  <c r="I221" i="379"/>
  <c r="D218" i="381" s="1"/>
  <c r="I222" i="379"/>
  <c r="D219" i="381" s="1"/>
  <c r="I223" i="379"/>
  <c r="D220" i="381" s="1"/>
  <c r="I224" i="379"/>
  <c r="D221" i="381" s="1"/>
  <c r="I225" i="379"/>
  <c r="D222" i="381" s="1"/>
  <c r="I226" i="379"/>
  <c r="D223" i="381" s="1"/>
  <c r="I227" i="379"/>
  <c r="D224" i="381" s="1"/>
  <c r="I228" i="379"/>
  <c r="D225" i="381" s="1"/>
  <c r="I229" i="379"/>
  <c r="D226" i="381" s="1"/>
  <c r="I230" i="379"/>
  <c r="D227" i="381" s="1"/>
  <c r="I231" i="379"/>
  <c r="D228" i="381" s="1"/>
  <c r="I232" i="379"/>
  <c r="D229" i="381" s="1"/>
  <c r="I233" i="379"/>
  <c r="D230" i="381" s="1"/>
  <c r="I234" i="379"/>
  <c r="D231" i="381" s="1"/>
  <c r="I235" i="379"/>
  <c r="D232" i="381" s="1"/>
  <c r="I236" i="379"/>
  <c r="D233" i="381" s="1"/>
  <c r="I237" i="379"/>
  <c r="D234" i="381" s="1"/>
  <c r="I238" i="379"/>
  <c r="D235" i="381" s="1"/>
  <c r="I239" i="379"/>
  <c r="D236" i="381" s="1"/>
  <c r="I240" i="379"/>
  <c r="D237" i="381" s="1"/>
  <c r="I241" i="379"/>
  <c r="D238" i="381" s="1"/>
  <c r="I242" i="379"/>
  <c r="D239" i="381" s="1"/>
  <c r="I243" i="379"/>
  <c r="D240" i="381" s="1"/>
  <c r="I244" i="379"/>
  <c r="D241" i="381" s="1"/>
  <c r="I245" i="379"/>
  <c r="D242" i="381" s="1"/>
  <c r="I246" i="379"/>
  <c r="D243" i="381" s="1"/>
  <c r="I247" i="379"/>
  <c r="D244" i="381" s="1"/>
  <c r="I248" i="379"/>
  <c r="D245" i="381" s="1"/>
  <c r="I249" i="379"/>
  <c r="D246" i="381" s="1"/>
  <c r="I250" i="379"/>
  <c r="D247" i="381" s="1"/>
  <c r="I251" i="379"/>
  <c r="D248" i="381" s="1"/>
  <c r="I252" i="379"/>
  <c r="D249" i="381" s="1"/>
  <c r="I253" i="379"/>
  <c r="D250" i="381" s="1"/>
  <c r="I254" i="379"/>
  <c r="D251" i="381" s="1"/>
  <c r="I255" i="379"/>
  <c r="D252" i="381" s="1"/>
  <c r="I256" i="379"/>
  <c r="D253" i="381" s="1"/>
  <c r="I2" i="378"/>
  <c r="I3" i="378"/>
  <c r="I4" i="378"/>
  <c r="I5" i="378"/>
  <c r="C2" i="381" s="1"/>
  <c r="I6" i="378"/>
  <c r="C3" i="381" s="1"/>
  <c r="I7" i="378"/>
  <c r="C4" i="381" s="1"/>
  <c r="I8" i="378"/>
  <c r="C5" i="381" s="1"/>
  <c r="I9" i="378"/>
  <c r="C6" i="381" s="1"/>
  <c r="I10" i="378"/>
  <c r="C7" i="381" s="1"/>
  <c r="I11" i="378"/>
  <c r="C8" i="381" s="1"/>
  <c r="I12" i="378"/>
  <c r="C9" i="381" s="1"/>
  <c r="I13" i="378"/>
  <c r="C10" i="381" s="1"/>
  <c r="I14" i="378"/>
  <c r="C11" i="381" s="1"/>
  <c r="I15" i="378"/>
  <c r="C12" i="381" s="1"/>
  <c r="I16" i="378"/>
  <c r="C13" i="381" s="1"/>
  <c r="I17" i="378"/>
  <c r="C14" i="381" s="1"/>
  <c r="I18" i="378"/>
  <c r="C15" i="381" s="1"/>
  <c r="I19" i="378"/>
  <c r="C16" i="381" s="1"/>
  <c r="I20" i="378"/>
  <c r="C17" i="381" s="1"/>
  <c r="I21" i="378"/>
  <c r="C18" i="381" s="1"/>
  <c r="I22" i="378"/>
  <c r="C19" i="381" s="1"/>
  <c r="I23" i="378"/>
  <c r="C20" i="381" s="1"/>
  <c r="I24" i="378"/>
  <c r="C21" i="381" s="1"/>
  <c r="I25" i="378"/>
  <c r="C22" i="381" s="1"/>
  <c r="I26" i="378"/>
  <c r="C23" i="381" s="1"/>
  <c r="I27" i="378"/>
  <c r="C24" i="381" s="1"/>
  <c r="I28" i="378"/>
  <c r="C25" i="381" s="1"/>
  <c r="I29" i="378"/>
  <c r="C26" i="381" s="1"/>
  <c r="I30" i="378"/>
  <c r="C27" i="381" s="1"/>
  <c r="I31" i="378"/>
  <c r="C28" i="381" s="1"/>
  <c r="I32" i="378"/>
  <c r="C29" i="381" s="1"/>
  <c r="I33" i="378"/>
  <c r="C30" i="381" s="1"/>
  <c r="I34" i="378"/>
  <c r="C31" i="381" s="1"/>
  <c r="I35" i="378"/>
  <c r="C32" i="381" s="1"/>
  <c r="I36" i="378"/>
  <c r="C33" i="381" s="1"/>
  <c r="I37" i="378"/>
  <c r="C34" i="381" s="1"/>
  <c r="I38" i="378"/>
  <c r="C35" i="381" s="1"/>
  <c r="I39" i="378"/>
  <c r="C36" i="381" s="1"/>
  <c r="I40" i="378"/>
  <c r="C37" i="381" s="1"/>
  <c r="I41" i="378"/>
  <c r="C38" i="381" s="1"/>
  <c r="I42" i="378"/>
  <c r="C39" i="381" s="1"/>
  <c r="I43" i="378"/>
  <c r="C40" i="381" s="1"/>
  <c r="I44" i="378"/>
  <c r="C41" i="381" s="1"/>
  <c r="I45" i="378"/>
  <c r="C42" i="381" s="1"/>
  <c r="I46" i="378"/>
  <c r="C43" i="381" s="1"/>
  <c r="I47" i="378"/>
  <c r="C44" i="381" s="1"/>
  <c r="I48" i="378"/>
  <c r="C45" i="381" s="1"/>
  <c r="I49" i="378"/>
  <c r="C46" i="381" s="1"/>
  <c r="I50" i="378"/>
  <c r="C47" i="381" s="1"/>
  <c r="I51" i="378"/>
  <c r="C48" i="381" s="1"/>
  <c r="I52" i="378"/>
  <c r="C49" i="381" s="1"/>
  <c r="I53" i="378"/>
  <c r="C50" i="381" s="1"/>
  <c r="I54" i="378"/>
  <c r="C51" i="381" s="1"/>
  <c r="I55" i="378"/>
  <c r="C52" i="381" s="1"/>
  <c r="I56" i="378"/>
  <c r="C53" i="381" s="1"/>
  <c r="I57" i="378"/>
  <c r="C54" i="381" s="1"/>
  <c r="I58" i="378"/>
  <c r="C55" i="381" s="1"/>
  <c r="I59" i="378"/>
  <c r="C56" i="381" s="1"/>
  <c r="I60" i="378"/>
  <c r="C57" i="381" s="1"/>
  <c r="I61" i="378"/>
  <c r="C58" i="381" s="1"/>
  <c r="I62" i="378"/>
  <c r="C59" i="381" s="1"/>
  <c r="I63" i="378"/>
  <c r="C60" i="381" s="1"/>
  <c r="I64" i="378"/>
  <c r="C61" i="381" s="1"/>
  <c r="I65" i="378"/>
  <c r="C62" i="381" s="1"/>
  <c r="I66" i="378"/>
  <c r="C63" i="381" s="1"/>
  <c r="I67" i="378"/>
  <c r="C64" i="381" s="1"/>
  <c r="I68" i="378"/>
  <c r="C65" i="381" s="1"/>
  <c r="I69" i="378"/>
  <c r="C66" i="381" s="1"/>
  <c r="I70" i="378"/>
  <c r="C67" i="381" s="1"/>
  <c r="I71" i="378"/>
  <c r="C68" i="381" s="1"/>
  <c r="I72" i="378"/>
  <c r="C69" i="381" s="1"/>
  <c r="I73" i="378"/>
  <c r="C70" i="381" s="1"/>
  <c r="I74" i="378"/>
  <c r="C71" i="381" s="1"/>
  <c r="I75" i="378"/>
  <c r="C72" i="381" s="1"/>
  <c r="I76" i="378"/>
  <c r="C73" i="381" s="1"/>
  <c r="I77" i="378"/>
  <c r="C74" i="381" s="1"/>
  <c r="I78" i="378"/>
  <c r="C75" i="381" s="1"/>
  <c r="I79" i="378"/>
  <c r="C76" i="381" s="1"/>
  <c r="I80" i="378"/>
  <c r="C77" i="381" s="1"/>
  <c r="I81" i="378"/>
  <c r="C78" i="381" s="1"/>
  <c r="I82" i="378"/>
  <c r="C79" i="381" s="1"/>
  <c r="I83" i="378"/>
  <c r="C80" i="381" s="1"/>
  <c r="I84" i="378"/>
  <c r="C81" i="381" s="1"/>
  <c r="I85" i="378"/>
  <c r="C82" i="381" s="1"/>
  <c r="I86" i="378"/>
  <c r="C83" i="381" s="1"/>
  <c r="I87" i="378"/>
  <c r="C84" i="381" s="1"/>
  <c r="I88" i="378"/>
  <c r="C85" i="381" s="1"/>
  <c r="I89" i="378"/>
  <c r="C86" i="381" s="1"/>
  <c r="I90" i="378"/>
  <c r="C87" i="381" s="1"/>
  <c r="I91" i="378"/>
  <c r="C88" i="381" s="1"/>
  <c r="I92" i="378"/>
  <c r="C89" i="381" s="1"/>
  <c r="I93" i="378"/>
  <c r="C90" i="381" s="1"/>
  <c r="I94" i="378"/>
  <c r="C91" i="381" s="1"/>
  <c r="I95" i="378"/>
  <c r="C92" i="381" s="1"/>
  <c r="I96" i="378"/>
  <c r="C93" i="381" s="1"/>
  <c r="I97" i="378"/>
  <c r="C94" i="381" s="1"/>
  <c r="I98" i="378"/>
  <c r="C95" i="381" s="1"/>
  <c r="I99" i="378"/>
  <c r="C96" i="381" s="1"/>
  <c r="I100" i="378"/>
  <c r="C97" i="381" s="1"/>
  <c r="I101" i="378"/>
  <c r="C98" i="381" s="1"/>
  <c r="I102" i="378"/>
  <c r="C99" i="381" s="1"/>
  <c r="I103" i="378"/>
  <c r="C100" i="381" s="1"/>
  <c r="I104" i="378"/>
  <c r="C101" i="381" s="1"/>
  <c r="I105" i="378"/>
  <c r="C102" i="381" s="1"/>
  <c r="I106" i="378"/>
  <c r="C103" i="381" s="1"/>
  <c r="I107" i="378"/>
  <c r="C104" i="381" s="1"/>
  <c r="I108" i="378"/>
  <c r="C105" i="381" s="1"/>
  <c r="I109" i="378"/>
  <c r="C106" i="381" s="1"/>
  <c r="I110" i="378"/>
  <c r="C107" i="381" s="1"/>
  <c r="I111" i="378"/>
  <c r="C108" i="381" s="1"/>
  <c r="I112" i="378"/>
  <c r="C109" i="381" s="1"/>
  <c r="I113" i="378"/>
  <c r="C110" i="381" s="1"/>
  <c r="I114" i="378"/>
  <c r="C111" i="381" s="1"/>
  <c r="I115" i="378"/>
  <c r="C112" i="381" s="1"/>
  <c r="I116" i="378"/>
  <c r="C113" i="381" s="1"/>
  <c r="I117" i="378"/>
  <c r="C114" i="381" s="1"/>
  <c r="I118" i="378"/>
  <c r="C115" i="381" s="1"/>
  <c r="I119" i="378"/>
  <c r="C116" i="381" s="1"/>
  <c r="I120" i="378"/>
  <c r="C117" i="381" s="1"/>
  <c r="I121" i="378"/>
  <c r="C118" i="381" s="1"/>
  <c r="I122" i="378"/>
  <c r="C119" i="381" s="1"/>
  <c r="I123" i="378"/>
  <c r="C120" i="381" s="1"/>
  <c r="I124" i="378"/>
  <c r="C121" i="381" s="1"/>
  <c r="I125" i="378"/>
  <c r="C122" i="381" s="1"/>
  <c r="I126" i="378"/>
  <c r="C123" i="381" s="1"/>
  <c r="I127" i="378"/>
  <c r="C124" i="381" s="1"/>
  <c r="I128" i="378"/>
  <c r="C125" i="381" s="1"/>
  <c r="I129" i="378"/>
  <c r="C126" i="381" s="1"/>
  <c r="I130" i="378"/>
  <c r="C127" i="381" s="1"/>
  <c r="I131" i="378"/>
  <c r="C128" i="381" s="1"/>
  <c r="I132" i="378"/>
  <c r="C129" i="381" s="1"/>
  <c r="I133" i="378"/>
  <c r="C130" i="381" s="1"/>
  <c r="I134" i="378"/>
  <c r="C131" i="381" s="1"/>
  <c r="I135" i="378"/>
  <c r="C132" i="381" s="1"/>
  <c r="I136" i="378"/>
  <c r="C133" i="381" s="1"/>
  <c r="I137" i="378"/>
  <c r="C134" i="381" s="1"/>
  <c r="I138" i="378"/>
  <c r="C135" i="381" s="1"/>
  <c r="I139" i="378"/>
  <c r="C136" i="381" s="1"/>
  <c r="I140" i="378"/>
  <c r="C137" i="381" s="1"/>
  <c r="I141" i="378"/>
  <c r="C138" i="381" s="1"/>
  <c r="I142" i="378"/>
  <c r="C139" i="381" s="1"/>
  <c r="I143" i="378"/>
  <c r="C140" i="381" s="1"/>
  <c r="I144" i="378"/>
  <c r="C141" i="381" s="1"/>
  <c r="I145" i="378"/>
  <c r="C142" i="381" s="1"/>
  <c r="I146" i="378"/>
  <c r="C143" i="381" s="1"/>
  <c r="I147" i="378"/>
  <c r="C144" i="381" s="1"/>
  <c r="I148" i="378"/>
  <c r="C145" i="381" s="1"/>
  <c r="I149" i="378"/>
  <c r="C146" i="381" s="1"/>
  <c r="I150" i="378"/>
  <c r="C147" i="381" s="1"/>
  <c r="I151" i="378"/>
  <c r="C148" i="381" s="1"/>
  <c r="I152" i="378"/>
  <c r="C149" i="381" s="1"/>
  <c r="I153" i="378"/>
  <c r="C150" i="381" s="1"/>
  <c r="I154" i="378"/>
  <c r="C151" i="381" s="1"/>
  <c r="I155" i="378"/>
  <c r="C152" i="381" s="1"/>
  <c r="I156" i="378"/>
  <c r="C153" i="381" s="1"/>
  <c r="I157" i="378"/>
  <c r="C154" i="381" s="1"/>
  <c r="I158" i="378"/>
  <c r="C155" i="381" s="1"/>
  <c r="I159" i="378"/>
  <c r="C156" i="381" s="1"/>
  <c r="I160" i="378"/>
  <c r="C157" i="381" s="1"/>
  <c r="I161" i="378"/>
  <c r="C158" i="381" s="1"/>
  <c r="I162" i="378"/>
  <c r="C159" i="381" s="1"/>
  <c r="I163" i="378"/>
  <c r="C160" i="381" s="1"/>
  <c r="I164" i="378"/>
  <c r="C161" i="381" s="1"/>
  <c r="I165" i="378"/>
  <c r="C162" i="381" s="1"/>
  <c r="I166" i="378"/>
  <c r="C163" i="381" s="1"/>
  <c r="I167" i="378"/>
  <c r="C164" i="381" s="1"/>
  <c r="I168" i="378"/>
  <c r="C165" i="381" s="1"/>
  <c r="I169" i="378"/>
  <c r="C166" i="381" s="1"/>
  <c r="I170" i="378"/>
  <c r="C167" i="381" s="1"/>
  <c r="I171" i="378"/>
  <c r="C168" i="381" s="1"/>
  <c r="I172" i="378"/>
  <c r="C169" i="381" s="1"/>
  <c r="I173" i="378"/>
  <c r="C170" i="381" s="1"/>
  <c r="I174" i="378"/>
  <c r="C171" i="381" s="1"/>
  <c r="I175" i="378"/>
  <c r="C172" i="381" s="1"/>
  <c r="I176" i="378"/>
  <c r="C173" i="381" s="1"/>
  <c r="I177" i="378"/>
  <c r="C174" i="381" s="1"/>
  <c r="I178" i="378"/>
  <c r="C175" i="381" s="1"/>
  <c r="I179" i="378"/>
  <c r="C176" i="381" s="1"/>
  <c r="I180" i="378"/>
  <c r="C177" i="381" s="1"/>
  <c r="I181" i="378"/>
  <c r="C178" i="381" s="1"/>
  <c r="I182" i="378"/>
  <c r="C179" i="381" s="1"/>
  <c r="I183" i="378"/>
  <c r="C180" i="381" s="1"/>
  <c r="I184" i="378"/>
  <c r="C181" i="381" s="1"/>
  <c r="I185" i="378"/>
  <c r="C182" i="381" s="1"/>
  <c r="I186" i="378"/>
  <c r="C183" i="381" s="1"/>
  <c r="I187" i="378"/>
  <c r="C184" i="381" s="1"/>
  <c r="I188" i="378"/>
  <c r="C185" i="381" s="1"/>
  <c r="I189" i="378"/>
  <c r="C186" i="381" s="1"/>
  <c r="I190" i="378"/>
  <c r="C187" i="381" s="1"/>
  <c r="I191" i="378"/>
  <c r="C188" i="381" s="1"/>
  <c r="I192" i="378"/>
  <c r="C189" i="381" s="1"/>
  <c r="I193" i="378"/>
  <c r="C190" i="381" s="1"/>
  <c r="I194" i="378"/>
  <c r="C191" i="381" s="1"/>
  <c r="I195" i="378"/>
  <c r="C192" i="381" s="1"/>
  <c r="I196" i="378"/>
  <c r="C193" i="381" s="1"/>
  <c r="I197" i="378"/>
  <c r="C194" i="381" s="1"/>
  <c r="I198" i="378"/>
  <c r="C195" i="381" s="1"/>
  <c r="I199" i="378"/>
  <c r="C196" i="381" s="1"/>
  <c r="I200" i="378"/>
  <c r="C197" i="381" s="1"/>
  <c r="I201" i="378"/>
  <c r="C198" i="381" s="1"/>
  <c r="I202" i="378"/>
  <c r="C199" i="381" s="1"/>
  <c r="I203" i="378"/>
  <c r="C200" i="381" s="1"/>
  <c r="I204" i="378"/>
  <c r="C201" i="381" s="1"/>
  <c r="I205" i="378"/>
  <c r="C202" i="381" s="1"/>
  <c r="I206" i="378"/>
  <c r="C203" i="381" s="1"/>
  <c r="I207" i="378"/>
  <c r="C204" i="381" s="1"/>
  <c r="I208" i="378"/>
  <c r="C205" i="381" s="1"/>
  <c r="I209" i="378"/>
  <c r="C206" i="381" s="1"/>
  <c r="I210" i="378"/>
  <c r="C207" i="381" s="1"/>
  <c r="I211" i="378"/>
  <c r="C208" i="381" s="1"/>
  <c r="I212" i="378"/>
  <c r="C209" i="381" s="1"/>
  <c r="I213" i="378"/>
  <c r="C210" i="381" s="1"/>
  <c r="I214" i="378"/>
  <c r="C211" i="381" s="1"/>
  <c r="I215" i="378"/>
  <c r="C212" i="381" s="1"/>
  <c r="I216" i="378"/>
  <c r="C213" i="381" s="1"/>
  <c r="I217" i="378"/>
  <c r="C214" i="381" s="1"/>
  <c r="I218" i="378"/>
  <c r="C215" i="381" s="1"/>
  <c r="I219" i="378"/>
  <c r="C216" i="381" s="1"/>
  <c r="I220" i="378"/>
  <c r="C217" i="381" s="1"/>
  <c r="I221" i="378"/>
  <c r="C218" i="381" s="1"/>
  <c r="I222" i="378"/>
  <c r="C219" i="381" s="1"/>
  <c r="I223" i="378"/>
  <c r="C220" i="381" s="1"/>
  <c r="I224" i="378"/>
  <c r="C221" i="381" s="1"/>
  <c r="I225" i="378"/>
  <c r="C222" i="381" s="1"/>
  <c r="I226" i="378"/>
  <c r="C223" i="381" s="1"/>
  <c r="I227" i="378"/>
  <c r="C224" i="381" s="1"/>
  <c r="I228" i="378"/>
  <c r="C225" i="381" s="1"/>
  <c r="I229" i="378"/>
  <c r="C226" i="381" s="1"/>
  <c r="I230" i="378"/>
  <c r="C227" i="381" s="1"/>
  <c r="I231" i="378"/>
  <c r="C228" i="381" s="1"/>
  <c r="I232" i="378"/>
  <c r="C229" i="381" s="1"/>
  <c r="I233" i="378"/>
  <c r="C230" i="381" s="1"/>
  <c r="I234" i="378"/>
  <c r="C231" i="381" s="1"/>
  <c r="I235" i="378"/>
  <c r="C232" i="381" s="1"/>
  <c r="I236" i="378"/>
  <c r="C233" i="381" s="1"/>
  <c r="I237" i="378"/>
  <c r="C234" i="381" s="1"/>
  <c r="I238" i="378"/>
  <c r="C235" i="381" s="1"/>
  <c r="I239" i="378"/>
  <c r="C236" i="381" s="1"/>
  <c r="I240" i="378"/>
  <c r="C237" i="381" s="1"/>
  <c r="I241" i="378"/>
  <c r="C238" i="381" s="1"/>
  <c r="I242" i="378"/>
  <c r="C239" i="381" s="1"/>
  <c r="I243" i="378"/>
  <c r="C240" i="381" s="1"/>
  <c r="I244" i="378"/>
  <c r="C241" i="381" s="1"/>
  <c r="I245" i="378"/>
  <c r="C242" i="381" s="1"/>
  <c r="I246" i="378"/>
  <c r="C243" i="381" s="1"/>
  <c r="I247" i="378"/>
  <c r="C244" i="381" s="1"/>
  <c r="I248" i="378"/>
  <c r="C245" i="381" s="1"/>
  <c r="I249" i="378"/>
  <c r="C246" i="381" s="1"/>
  <c r="I250" i="378"/>
  <c r="C247" i="381" s="1"/>
  <c r="I251" i="378"/>
  <c r="C248" i="381" s="1"/>
  <c r="I252" i="378"/>
  <c r="C249" i="381" s="1"/>
  <c r="I253" i="378"/>
  <c r="C250" i="381" s="1"/>
  <c r="I254" i="378"/>
  <c r="C251" i="381" s="1"/>
  <c r="I255" i="378"/>
  <c r="C252" i="381" s="1"/>
  <c r="I256" i="378"/>
  <c r="C253" i="381" s="1"/>
  <c r="I2" i="377"/>
  <c r="I3" i="377"/>
  <c r="I4" i="377"/>
  <c r="I5" i="377"/>
  <c r="B2" i="381" s="1"/>
  <c r="I6" i="377"/>
  <c r="B3" i="381" s="1"/>
  <c r="I7" i="377"/>
  <c r="B4" i="381" s="1"/>
  <c r="I8" i="377"/>
  <c r="B5" i="381" s="1"/>
  <c r="I9" i="377"/>
  <c r="B6" i="381" s="1"/>
  <c r="I10" i="377"/>
  <c r="B7" i="381" s="1"/>
  <c r="I11" i="377"/>
  <c r="B8" i="381" s="1"/>
  <c r="I12" i="377"/>
  <c r="B9" i="381" s="1"/>
  <c r="I13" i="377"/>
  <c r="B10" i="381" s="1"/>
  <c r="I14" i="377"/>
  <c r="B11" i="381" s="1"/>
  <c r="I15" i="377"/>
  <c r="B12" i="381" s="1"/>
  <c r="I16" i="377"/>
  <c r="B13" i="381" s="1"/>
  <c r="I17" i="377"/>
  <c r="B14" i="381" s="1"/>
  <c r="I18" i="377"/>
  <c r="B15" i="381" s="1"/>
  <c r="I19" i="377"/>
  <c r="B16" i="381" s="1"/>
  <c r="I20" i="377"/>
  <c r="B17" i="381" s="1"/>
  <c r="I21" i="377"/>
  <c r="B18" i="381" s="1"/>
  <c r="I22" i="377"/>
  <c r="B19" i="381" s="1"/>
  <c r="I23" i="377"/>
  <c r="B20" i="381" s="1"/>
  <c r="I24" i="377"/>
  <c r="B21" i="381" s="1"/>
  <c r="I25" i="377"/>
  <c r="B22" i="381" s="1"/>
  <c r="I26" i="377"/>
  <c r="B23" i="381" s="1"/>
  <c r="I27" i="377"/>
  <c r="B24" i="381" s="1"/>
  <c r="I28" i="377"/>
  <c r="B25" i="381" s="1"/>
  <c r="I29" i="377"/>
  <c r="B26" i="381" s="1"/>
  <c r="I30" i="377"/>
  <c r="B27" i="381" s="1"/>
  <c r="I31" i="377"/>
  <c r="B28" i="381" s="1"/>
  <c r="I32" i="377"/>
  <c r="B29" i="381" s="1"/>
  <c r="I33" i="377"/>
  <c r="B30" i="381" s="1"/>
  <c r="I34" i="377"/>
  <c r="B31" i="381" s="1"/>
  <c r="I35" i="377"/>
  <c r="B32" i="381" s="1"/>
  <c r="I36" i="377"/>
  <c r="B33" i="381" s="1"/>
  <c r="I37" i="377"/>
  <c r="B34" i="381" s="1"/>
  <c r="I38" i="377"/>
  <c r="B35" i="381" s="1"/>
  <c r="I39" i="377"/>
  <c r="B36" i="381" s="1"/>
  <c r="I40" i="377"/>
  <c r="B37" i="381" s="1"/>
  <c r="I41" i="377"/>
  <c r="B38" i="381" s="1"/>
  <c r="I42" i="377"/>
  <c r="B39" i="381" s="1"/>
  <c r="I43" i="377"/>
  <c r="B40" i="381" s="1"/>
  <c r="I44" i="377"/>
  <c r="B41" i="381" s="1"/>
  <c r="I45" i="377"/>
  <c r="B42" i="381" s="1"/>
  <c r="I46" i="377"/>
  <c r="B43" i="381" s="1"/>
  <c r="I47" i="377"/>
  <c r="B44" i="381" s="1"/>
  <c r="I48" i="377"/>
  <c r="B45" i="381" s="1"/>
  <c r="I49" i="377"/>
  <c r="B46" i="381" s="1"/>
  <c r="I50" i="377"/>
  <c r="B47" i="381" s="1"/>
  <c r="I51" i="377"/>
  <c r="B48" i="381" s="1"/>
  <c r="I52" i="377"/>
  <c r="B49" i="381" s="1"/>
  <c r="I53" i="377"/>
  <c r="B50" i="381" s="1"/>
  <c r="I54" i="377"/>
  <c r="B51" i="381" s="1"/>
  <c r="I55" i="377"/>
  <c r="B52" i="381" s="1"/>
  <c r="I56" i="377"/>
  <c r="B53" i="381" s="1"/>
  <c r="I57" i="377"/>
  <c r="B54" i="381" s="1"/>
  <c r="I58" i="377"/>
  <c r="B55" i="381" s="1"/>
  <c r="I59" i="377"/>
  <c r="B56" i="381" s="1"/>
  <c r="I60" i="377"/>
  <c r="B57" i="381" s="1"/>
  <c r="I61" i="377"/>
  <c r="B58" i="381" s="1"/>
  <c r="I62" i="377"/>
  <c r="B59" i="381" s="1"/>
  <c r="I63" i="377"/>
  <c r="B60" i="381" s="1"/>
  <c r="I64" i="377"/>
  <c r="B61" i="381" s="1"/>
  <c r="I65" i="377"/>
  <c r="B62" i="381" s="1"/>
  <c r="I66" i="377"/>
  <c r="B63" i="381" s="1"/>
  <c r="I67" i="377"/>
  <c r="B64" i="381" s="1"/>
  <c r="I68" i="377"/>
  <c r="B65" i="381" s="1"/>
  <c r="I69" i="377"/>
  <c r="B66" i="381" s="1"/>
  <c r="I70" i="377"/>
  <c r="B67" i="381" s="1"/>
  <c r="I71" i="377"/>
  <c r="B68" i="381" s="1"/>
  <c r="I72" i="377"/>
  <c r="B69" i="381" s="1"/>
  <c r="I73" i="377"/>
  <c r="B70" i="381" s="1"/>
  <c r="I74" i="377"/>
  <c r="B71" i="381" s="1"/>
  <c r="I75" i="377"/>
  <c r="B72" i="381" s="1"/>
  <c r="I76" i="377"/>
  <c r="B73" i="381" s="1"/>
  <c r="I77" i="377"/>
  <c r="B74" i="381" s="1"/>
  <c r="I78" i="377"/>
  <c r="B75" i="381" s="1"/>
  <c r="I79" i="377"/>
  <c r="B76" i="381" s="1"/>
  <c r="I80" i="377"/>
  <c r="B77" i="381" s="1"/>
  <c r="I81" i="377"/>
  <c r="B78" i="381" s="1"/>
  <c r="I82" i="377"/>
  <c r="B79" i="381" s="1"/>
  <c r="I83" i="377"/>
  <c r="B80" i="381" s="1"/>
  <c r="I84" i="377"/>
  <c r="B81" i="381" s="1"/>
  <c r="I85" i="377"/>
  <c r="B82" i="381" s="1"/>
  <c r="I86" i="377"/>
  <c r="B83" i="381" s="1"/>
  <c r="I87" i="377"/>
  <c r="B84" i="381" s="1"/>
  <c r="I88" i="377"/>
  <c r="B85" i="381" s="1"/>
  <c r="I89" i="377"/>
  <c r="B86" i="381" s="1"/>
  <c r="I90" i="377"/>
  <c r="B87" i="381" s="1"/>
  <c r="I91" i="377"/>
  <c r="B88" i="381" s="1"/>
  <c r="I92" i="377"/>
  <c r="B89" i="381" s="1"/>
  <c r="I93" i="377"/>
  <c r="B90" i="381" s="1"/>
  <c r="I94" i="377"/>
  <c r="B91" i="381" s="1"/>
  <c r="I95" i="377"/>
  <c r="B92" i="381" s="1"/>
  <c r="I96" i="377"/>
  <c r="B93" i="381" s="1"/>
  <c r="I97" i="377"/>
  <c r="B94" i="381" s="1"/>
  <c r="I98" i="377"/>
  <c r="B95" i="381" s="1"/>
  <c r="I99" i="377"/>
  <c r="B96" i="381" s="1"/>
  <c r="I100" i="377"/>
  <c r="B97" i="381" s="1"/>
  <c r="I101" i="377"/>
  <c r="B98" i="381" s="1"/>
  <c r="I102" i="377"/>
  <c r="B99" i="381" s="1"/>
  <c r="I103" i="377"/>
  <c r="B100" i="381" s="1"/>
  <c r="I104" i="377"/>
  <c r="B101" i="381" s="1"/>
  <c r="I105" i="377"/>
  <c r="B102" i="381" s="1"/>
  <c r="I106" i="377"/>
  <c r="B103" i="381" s="1"/>
  <c r="I107" i="377"/>
  <c r="B104" i="381" s="1"/>
  <c r="I108" i="377"/>
  <c r="B105" i="381" s="1"/>
  <c r="I109" i="377"/>
  <c r="B106" i="381" s="1"/>
  <c r="I110" i="377"/>
  <c r="B107" i="381" s="1"/>
  <c r="I111" i="377"/>
  <c r="B108" i="381" s="1"/>
  <c r="I112" i="377"/>
  <c r="B109" i="381" s="1"/>
  <c r="I113" i="377"/>
  <c r="B110" i="381" s="1"/>
  <c r="I114" i="377"/>
  <c r="B111" i="381" s="1"/>
  <c r="I115" i="377"/>
  <c r="B112" i="381" s="1"/>
  <c r="I116" i="377"/>
  <c r="B113" i="381" s="1"/>
  <c r="I117" i="377"/>
  <c r="B114" i="381" s="1"/>
  <c r="I118" i="377"/>
  <c r="B115" i="381" s="1"/>
  <c r="I119" i="377"/>
  <c r="B116" i="381" s="1"/>
  <c r="I120" i="377"/>
  <c r="B117" i="381" s="1"/>
  <c r="I121" i="377"/>
  <c r="B118" i="381" s="1"/>
  <c r="I122" i="377"/>
  <c r="B119" i="381" s="1"/>
  <c r="I123" i="377"/>
  <c r="B120" i="381" s="1"/>
  <c r="I124" i="377"/>
  <c r="B121" i="381" s="1"/>
  <c r="I125" i="377"/>
  <c r="B122" i="381" s="1"/>
  <c r="I126" i="377"/>
  <c r="B123" i="381" s="1"/>
  <c r="I127" i="377"/>
  <c r="B124" i="381" s="1"/>
  <c r="I128" i="377"/>
  <c r="B125" i="381" s="1"/>
  <c r="I129" i="377"/>
  <c r="B126" i="381" s="1"/>
  <c r="I130" i="377"/>
  <c r="B127" i="381" s="1"/>
  <c r="I131" i="377"/>
  <c r="B128" i="381" s="1"/>
  <c r="I132" i="377"/>
  <c r="B129" i="381" s="1"/>
  <c r="I133" i="377"/>
  <c r="B130" i="381" s="1"/>
  <c r="I134" i="377"/>
  <c r="B131" i="381" s="1"/>
  <c r="I135" i="377"/>
  <c r="B132" i="381" s="1"/>
  <c r="I136" i="377"/>
  <c r="B133" i="381" s="1"/>
  <c r="I137" i="377"/>
  <c r="B134" i="381" s="1"/>
  <c r="I138" i="377"/>
  <c r="B135" i="381" s="1"/>
  <c r="I139" i="377"/>
  <c r="B136" i="381" s="1"/>
  <c r="I140" i="377"/>
  <c r="B137" i="381" s="1"/>
  <c r="I141" i="377"/>
  <c r="B138" i="381" s="1"/>
  <c r="I142" i="377"/>
  <c r="B139" i="381" s="1"/>
  <c r="I143" i="377"/>
  <c r="B140" i="381" s="1"/>
  <c r="I144" i="377"/>
  <c r="B141" i="381" s="1"/>
  <c r="I145" i="377"/>
  <c r="B142" i="381" s="1"/>
  <c r="I146" i="377"/>
  <c r="B143" i="381" s="1"/>
  <c r="I147" i="377"/>
  <c r="B144" i="381" s="1"/>
  <c r="I148" i="377"/>
  <c r="B145" i="381" s="1"/>
  <c r="I149" i="377"/>
  <c r="B146" i="381" s="1"/>
  <c r="I150" i="377"/>
  <c r="B147" i="381" s="1"/>
  <c r="I151" i="377"/>
  <c r="B148" i="381" s="1"/>
  <c r="I152" i="377"/>
  <c r="B149" i="381" s="1"/>
  <c r="I153" i="377"/>
  <c r="B150" i="381" s="1"/>
  <c r="I154" i="377"/>
  <c r="B151" i="381" s="1"/>
  <c r="I155" i="377"/>
  <c r="B152" i="381" s="1"/>
  <c r="I156" i="377"/>
  <c r="B153" i="381" s="1"/>
  <c r="I157" i="377"/>
  <c r="B154" i="381" s="1"/>
  <c r="I158" i="377"/>
  <c r="B155" i="381" s="1"/>
  <c r="I159" i="377"/>
  <c r="B156" i="381" s="1"/>
  <c r="I160" i="377"/>
  <c r="B157" i="381" s="1"/>
  <c r="I161" i="377"/>
  <c r="B158" i="381" s="1"/>
  <c r="I162" i="377"/>
  <c r="B159" i="381" s="1"/>
  <c r="I163" i="377"/>
  <c r="B160" i="381" s="1"/>
  <c r="I164" i="377"/>
  <c r="B161" i="381" s="1"/>
  <c r="I165" i="377"/>
  <c r="B162" i="381" s="1"/>
  <c r="I166" i="377"/>
  <c r="B163" i="381" s="1"/>
  <c r="I167" i="377"/>
  <c r="B164" i="381" s="1"/>
  <c r="I168" i="377"/>
  <c r="B165" i="381" s="1"/>
  <c r="I169" i="377"/>
  <c r="B166" i="381" s="1"/>
  <c r="I170" i="377"/>
  <c r="B167" i="381" s="1"/>
  <c r="I171" i="377"/>
  <c r="B168" i="381" s="1"/>
  <c r="I172" i="377"/>
  <c r="B169" i="381" s="1"/>
  <c r="I173" i="377"/>
  <c r="B170" i="381" s="1"/>
  <c r="I174" i="377"/>
  <c r="B171" i="381" s="1"/>
  <c r="I175" i="377"/>
  <c r="B172" i="381" s="1"/>
  <c r="I176" i="377"/>
  <c r="B173" i="381" s="1"/>
  <c r="I177" i="377"/>
  <c r="B174" i="381" s="1"/>
  <c r="I178" i="377"/>
  <c r="B175" i="381" s="1"/>
  <c r="I179" i="377"/>
  <c r="B176" i="381" s="1"/>
  <c r="I180" i="377"/>
  <c r="B177" i="381" s="1"/>
  <c r="I181" i="377"/>
  <c r="B178" i="381" s="1"/>
  <c r="I182" i="377"/>
  <c r="B179" i="381" s="1"/>
  <c r="I183" i="377"/>
  <c r="B180" i="381" s="1"/>
  <c r="I184" i="377"/>
  <c r="B181" i="381" s="1"/>
  <c r="I185" i="377"/>
  <c r="B182" i="381" s="1"/>
  <c r="I186" i="377"/>
  <c r="B183" i="381" s="1"/>
  <c r="I187" i="377"/>
  <c r="B184" i="381" s="1"/>
  <c r="I188" i="377"/>
  <c r="B185" i="381" s="1"/>
  <c r="I189" i="377"/>
  <c r="B186" i="381" s="1"/>
  <c r="I190" i="377"/>
  <c r="B187" i="381" s="1"/>
  <c r="I191" i="377"/>
  <c r="B188" i="381" s="1"/>
  <c r="I192" i="377"/>
  <c r="B189" i="381" s="1"/>
  <c r="I193" i="377"/>
  <c r="B190" i="381" s="1"/>
  <c r="I194" i="377"/>
  <c r="B191" i="381" s="1"/>
  <c r="I195" i="377"/>
  <c r="B192" i="381" s="1"/>
  <c r="I196" i="377"/>
  <c r="B193" i="381" s="1"/>
  <c r="I197" i="377"/>
  <c r="B194" i="381" s="1"/>
  <c r="I198" i="377"/>
  <c r="B195" i="381" s="1"/>
  <c r="I199" i="377"/>
  <c r="B196" i="381" s="1"/>
  <c r="I200" i="377"/>
  <c r="B197" i="381" s="1"/>
  <c r="I201" i="377"/>
  <c r="B198" i="381" s="1"/>
  <c r="I202" i="377"/>
  <c r="B199" i="381" s="1"/>
  <c r="I203" i="377"/>
  <c r="B200" i="381" s="1"/>
  <c r="I204" i="377"/>
  <c r="B201" i="381" s="1"/>
  <c r="I205" i="377"/>
  <c r="B202" i="381" s="1"/>
  <c r="I206" i="377"/>
  <c r="B203" i="381" s="1"/>
  <c r="I207" i="377"/>
  <c r="B204" i="381" s="1"/>
  <c r="I208" i="377"/>
  <c r="B205" i="381" s="1"/>
  <c r="I209" i="377"/>
  <c r="B206" i="381" s="1"/>
  <c r="I210" i="377"/>
  <c r="B207" i="381" s="1"/>
  <c r="I211" i="377"/>
  <c r="B208" i="381" s="1"/>
  <c r="I212" i="377"/>
  <c r="B209" i="381" s="1"/>
  <c r="I213" i="377"/>
  <c r="B210" i="381" s="1"/>
  <c r="I214" i="377"/>
  <c r="B211" i="381" s="1"/>
  <c r="I215" i="377"/>
  <c r="B212" i="381" s="1"/>
  <c r="I216" i="377"/>
  <c r="B213" i="381" s="1"/>
  <c r="I217" i="377"/>
  <c r="B214" i="381" s="1"/>
  <c r="I218" i="377"/>
  <c r="B215" i="381" s="1"/>
  <c r="I219" i="377"/>
  <c r="B216" i="381" s="1"/>
  <c r="I220" i="377"/>
  <c r="B217" i="381" s="1"/>
  <c r="I221" i="377"/>
  <c r="B218" i="381" s="1"/>
  <c r="I222" i="377"/>
  <c r="B219" i="381" s="1"/>
  <c r="I223" i="377"/>
  <c r="B220" i="381" s="1"/>
  <c r="I224" i="377"/>
  <c r="B221" i="381" s="1"/>
  <c r="I225" i="377"/>
  <c r="B222" i="381" s="1"/>
  <c r="I226" i="377"/>
  <c r="B223" i="381" s="1"/>
  <c r="I227" i="377"/>
  <c r="B224" i="381" s="1"/>
  <c r="I228" i="377"/>
  <c r="B225" i="381" s="1"/>
  <c r="I229" i="377"/>
  <c r="B226" i="381" s="1"/>
  <c r="I230" i="377"/>
  <c r="B227" i="381" s="1"/>
  <c r="I231" i="377"/>
  <c r="B228" i="381" s="1"/>
  <c r="I232" i="377"/>
  <c r="B229" i="381" s="1"/>
  <c r="I233" i="377"/>
  <c r="B230" i="381" s="1"/>
  <c r="I234" i="377"/>
  <c r="B231" i="381" s="1"/>
  <c r="I235" i="377"/>
  <c r="B232" i="381" s="1"/>
  <c r="I236" i="377"/>
  <c r="B233" i="381" s="1"/>
  <c r="I237" i="377"/>
  <c r="B234" i="381" s="1"/>
  <c r="I238" i="377"/>
  <c r="B235" i="381" s="1"/>
  <c r="I239" i="377"/>
  <c r="B236" i="381" s="1"/>
  <c r="I240" i="377"/>
  <c r="B237" i="381" s="1"/>
  <c r="I241" i="377"/>
  <c r="B238" i="381" s="1"/>
  <c r="I242" i="377"/>
  <c r="B239" i="381" s="1"/>
  <c r="I243" i="377"/>
  <c r="B240" i="381" s="1"/>
  <c r="I244" i="377"/>
  <c r="B241" i="381" s="1"/>
  <c r="I245" i="377"/>
  <c r="B242" i="381" s="1"/>
  <c r="I246" i="377"/>
  <c r="B243" i="381" s="1"/>
  <c r="I247" i="377"/>
  <c r="B244" i="381" s="1"/>
  <c r="I248" i="377"/>
  <c r="B245" i="381" s="1"/>
  <c r="I249" i="377"/>
  <c r="B246" i="381" s="1"/>
  <c r="I250" i="377"/>
  <c r="B247" i="381" s="1"/>
  <c r="I251" i="377"/>
  <c r="B248" i="381" s="1"/>
  <c r="I252" i="377"/>
  <c r="B249" i="381" s="1"/>
  <c r="I253" i="377"/>
  <c r="B250" i="381" s="1"/>
  <c r="I254" i="377"/>
  <c r="B251" i="381" s="1"/>
  <c r="I255" i="377"/>
  <c r="B252" i="381" s="1"/>
  <c r="I256" i="377"/>
  <c r="B253" i="381" s="1"/>
  <c r="B3" i="380"/>
  <c r="B2" i="380" s="1"/>
  <c r="B3" i="379"/>
  <c r="B2" i="379" s="1"/>
  <c r="B3" i="378"/>
  <c r="B2" i="378" s="1"/>
  <c r="B3" i="377"/>
  <c r="B2" i="377" s="1"/>
  <c r="D1" i="380" a="1"/>
  <c r="D1" i="379" a="1"/>
  <c r="D1" i="377" a="1"/>
  <c r="D1" i="378" a="1"/>
  <c r="D1" i="380" l="1"/>
  <c r="E81" i="382"/>
  <c r="E61" i="382"/>
  <c r="E41" i="382"/>
  <c r="E21" i="382"/>
  <c r="E80" i="382"/>
  <c r="E60" i="382"/>
  <c r="E40" i="382"/>
  <c r="E20" i="382"/>
  <c r="E79" i="382"/>
  <c r="E59" i="382"/>
  <c r="E39" i="382"/>
  <c r="E19" i="382"/>
  <c r="E78" i="382"/>
  <c r="E58" i="382"/>
  <c r="E38" i="382"/>
  <c r="E18" i="382"/>
  <c r="E77" i="382"/>
  <c r="E57" i="382"/>
  <c r="E37" i="382"/>
  <c r="E17" i="382"/>
  <c r="E76" i="382"/>
  <c r="E56" i="382"/>
  <c r="E36" i="382"/>
  <c r="E16" i="382"/>
  <c r="E75" i="382"/>
  <c r="E55" i="382"/>
  <c r="E35" i="382"/>
  <c r="E15" i="382"/>
  <c r="E74" i="382"/>
  <c r="E54" i="382"/>
  <c r="E34" i="382"/>
  <c r="E14" i="382"/>
  <c r="E73" i="382"/>
  <c r="E53" i="382"/>
  <c r="E33" i="382"/>
  <c r="E13" i="382"/>
  <c r="E72" i="382"/>
  <c r="E52" i="382"/>
  <c r="E32" i="382"/>
  <c r="E12" i="382"/>
  <c r="E91" i="382"/>
  <c r="E71" i="382"/>
  <c r="E51" i="382"/>
  <c r="E31" i="382"/>
  <c r="E11" i="382"/>
  <c r="E90" i="382"/>
  <c r="E70" i="382"/>
  <c r="E50" i="382"/>
  <c r="E30" i="382"/>
  <c r="E10" i="382"/>
  <c r="E89" i="382"/>
  <c r="E69" i="382"/>
  <c r="E49" i="382"/>
  <c r="E29" i="382"/>
  <c r="E9" i="382"/>
  <c r="E88" i="382"/>
  <c r="E68" i="382"/>
  <c r="E48" i="382"/>
  <c r="E28" i="382"/>
  <c r="E8" i="382"/>
  <c r="E87" i="382"/>
  <c r="E67" i="382"/>
  <c r="E47" i="382"/>
  <c r="E27" i="382"/>
  <c r="E7" i="382"/>
  <c r="E86" i="382"/>
  <c r="E66" i="382"/>
  <c r="E46" i="382"/>
  <c r="E26" i="382"/>
  <c r="E6" i="382"/>
  <c r="E85" i="382"/>
  <c r="E65" i="382"/>
  <c r="E45" i="382"/>
  <c r="E25" i="382"/>
  <c r="E5" i="382"/>
  <c r="E84" i="382"/>
  <c r="E64" i="382"/>
  <c r="E44" i="382"/>
  <c r="E24" i="382"/>
  <c r="E4" i="382"/>
  <c r="E83" i="382"/>
  <c r="E63" i="382"/>
  <c r="E43" i="382"/>
  <c r="E23" i="382"/>
  <c r="E3" i="382"/>
  <c r="E82" i="382"/>
  <c r="E62" i="382"/>
  <c r="E42" i="382"/>
  <c r="E22" i="382"/>
  <c r="E2" i="382"/>
  <c r="D81" i="382"/>
  <c r="D61" i="382"/>
  <c r="D41" i="382"/>
  <c r="D21" i="382"/>
  <c r="D80" i="382"/>
  <c r="D60" i="382"/>
  <c r="D40" i="382"/>
  <c r="D20" i="382"/>
  <c r="D79" i="382"/>
  <c r="D59" i="382"/>
  <c r="D39" i="382"/>
  <c r="D19" i="382"/>
  <c r="D78" i="382"/>
  <c r="D58" i="382"/>
  <c r="D38" i="382"/>
  <c r="D18" i="382"/>
  <c r="D77" i="382"/>
  <c r="D57" i="382"/>
  <c r="D37" i="382"/>
  <c r="D17" i="382"/>
  <c r="D76" i="382"/>
  <c r="D56" i="382"/>
  <c r="D36" i="382"/>
  <c r="D16" i="382"/>
  <c r="D75" i="382"/>
  <c r="D55" i="382"/>
  <c r="D35" i="382"/>
  <c r="D15" i="382"/>
  <c r="D74" i="382"/>
  <c r="D54" i="382"/>
  <c r="D34" i="382"/>
  <c r="D14" i="382"/>
  <c r="D73" i="382"/>
  <c r="D53" i="382"/>
  <c r="D33" i="382"/>
  <c r="D13" i="382"/>
  <c r="D72" i="382"/>
  <c r="D52" i="382"/>
  <c r="D32" i="382"/>
  <c r="D12" i="382"/>
  <c r="D91" i="382"/>
  <c r="D71" i="382"/>
  <c r="D51" i="382"/>
  <c r="D31" i="382"/>
  <c r="D11" i="382"/>
  <c r="D90" i="382"/>
  <c r="D70" i="382"/>
  <c r="D50" i="382"/>
  <c r="D30" i="382"/>
  <c r="D10" i="382"/>
  <c r="D89" i="382"/>
  <c r="D69" i="382"/>
  <c r="D49" i="382"/>
  <c r="D29" i="382"/>
  <c r="D9" i="382"/>
  <c r="D88" i="382"/>
  <c r="D68" i="382"/>
  <c r="D48" i="382"/>
  <c r="D28" i="382"/>
  <c r="D8" i="382"/>
  <c r="D87" i="382"/>
  <c r="D67" i="382"/>
  <c r="D47" i="382"/>
  <c r="D27" i="382"/>
  <c r="D7" i="382"/>
  <c r="D86" i="382"/>
  <c r="D66" i="382"/>
  <c r="D46" i="382"/>
  <c r="D26" i="382"/>
  <c r="D6" i="382"/>
  <c r="D85" i="382"/>
  <c r="D65" i="382"/>
  <c r="D45" i="382"/>
  <c r="D25" i="382"/>
  <c r="D5" i="382"/>
  <c r="D84" i="382"/>
  <c r="D64" i="382"/>
  <c r="D44" i="382"/>
  <c r="D24" i="382"/>
  <c r="D4" i="382"/>
  <c r="D83" i="382"/>
  <c r="D63" i="382"/>
  <c r="D43" i="382"/>
  <c r="D23" i="382"/>
  <c r="D3" i="382"/>
  <c r="D82" i="382"/>
  <c r="D62" i="382"/>
  <c r="D42" i="382"/>
  <c r="D22" i="382"/>
  <c r="D2" i="382"/>
  <c r="C81" i="382"/>
  <c r="C61" i="382"/>
  <c r="C41" i="382"/>
  <c r="C21" i="382"/>
  <c r="C80" i="382"/>
  <c r="C60" i="382"/>
  <c r="C40" i="382"/>
  <c r="C20" i="382"/>
  <c r="C79" i="382"/>
  <c r="C59" i="382"/>
  <c r="C39" i="382"/>
  <c r="C19" i="382"/>
  <c r="C78" i="382"/>
  <c r="C58" i="382"/>
  <c r="C38" i="382"/>
  <c r="C18" i="382"/>
  <c r="C77" i="382"/>
  <c r="C57" i="382"/>
  <c r="C37" i="382"/>
  <c r="C17" i="382"/>
  <c r="C76" i="382"/>
  <c r="C56" i="382"/>
  <c r="C36" i="382"/>
  <c r="C16" i="382"/>
  <c r="C75" i="382"/>
  <c r="C55" i="382"/>
  <c r="C35" i="382"/>
  <c r="C15" i="382"/>
  <c r="C74" i="382"/>
  <c r="C54" i="382"/>
  <c r="C34" i="382"/>
  <c r="C14" i="382"/>
  <c r="C73" i="382"/>
  <c r="C53" i="382"/>
  <c r="C33" i="382"/>
  <c r="C13" i="382"/>
  <c r="C72" i="382"/>
  <c r="C52" i="382"/>
  <c r="C32" i="382"/>
  <c r="C12" i="382"/>
  <c r="C91" i="382"/>
  <c r="C71" i="382"/>
  <c r="C51" i="382"/>
  <c r="C31" i="382"/>
  <c r="C11" i="382"/>
  <c r="C90" i="382"/>
  <c r="C70" i="382"/>
  <c r="C50" i="382"/>
  <c r="C30" i="382"/>
  <c r="C10" i="382"/>
  <c r="C89" i="382"/>
  <c r="C69" i="382"/>
  <c r="C49" i="382"/>
  <c r="C29" i="382"/>
  <c r="C9" i="382"/>
  <c r="C88" i="382"/>
  <c r="C68" i="382"/>
  <c r="C48" i="382"/>
  <c r="C28" i="382"/>
  <c r="C8" i="382"/>
  <c r="C87" i="382"/>
  <c r="C67" i="382"/>
  <c r="C47" i="382"/>
  <c r="C27" i="382"/>
  <c r="C7" i="382"/>
  <c r="C86" i="382"/>
  <c r="C66" i="382"/>
  <c r="C46" i="382"/>
  <c r="C26" i="382"/>
  <c r="C6" i="382"/>
  <c r="C85" i="382"/>
  <c r="C65" i="382"/>
  <c r="C45" i="382"/>
  <c r="C25" i="382"/>
  <c r="C5" i="382"/>
  <c r="C84" i="382"/>
  <c r="C64" i="382"/>
  <c r="C44" i="382"/>
  <c r="C24" i="382"/>
  <c r="C4" i="382"/>
  <c r="C83" i="382"/>
  <c r="C63" i="382"/>
  <c r="C43" i="382"/>
  <c r="C23" i="382"/>
  <c r="C3" i="382"/>
  <c r="C82" i="382"/>
  <c r="C62" i="382"/>
  <c r="C42" i="382"/>
  <c r="C22" i="382"/>
  <c r="C2" i="382"/>
  <c r="B81" i="382"/>
  <c r="B61" i="382"/>
  <c r="B41" i="382"/>
  <c r="B21" i="382"/>
  <c r="B80" i="382"/>
  <c r="B60" i="382"/>
  <c r="B40" i="382"/>
  <c r="B20" i="382"/>
  <c r="B79" i="382"/>
  <c r="B59" i="382"/>
  <c r="B39" i="382"/>
  <c r="B19" i="382"/>
  <c r="B78" i="382"/>
  <c r="B58" i="382"/>
  <c r="B38" i="382"/>
  <c r="B18" i="382"/>
  <c r="B77" i="382"/>
  <c r="B57" i="382"/>
  <c r="B37" i="382"/>
  <c r="B17" i="382"/>
  <c r="B76" i="382"/>
  <c r="B56" i="382"/>
  <c r="B36" i="382"/>
  <c r="B16" i="382"/>
  <c r="B75" i="382"/>
  <c r="B55" i="382"/>
  <c r="B35" i="382"/>
  <c r="B15" i="382"/>
  <c r="B74" i="382"/>
  <c r="B54" i="382"/>
  <c r="B34" i="382"/>
  <c r="B14" i="382"/>
  <c r="B73" i="382"/>
  <c r="B53" i="382"/>
  <c r="B33" i="382"/>
  <c r="B13" i="382"/>
  <c r="B72" i="382"/>
  <c r="B52" i="382"/>
  <c r="B32" i="382"/>
  <c r="B12" i="382"/>
  <c r="B91" i="382"/>
  <c r="B71" i="382"/>
  <c r="B51" i="382"/>
  <c r="B31" i="382"/>
  <c r="B11" i="382"/>
  <c r="B90" i="382"/>
  <c r="B70" i="382"/>
  <c r="B50" i="382"/>
  <c r="B30" i="382"/>
  <c r="B10" i="382"/>
  <c r="B89" i="382"/>
  <c r="B69" i="382"/>
  <c r="B49" i="382"/>
  <c r="B29" i="382"/>
  <c r="B9" i="382"/>
  <c r="B88" i="382"/>
  <c r="B68" i="382"/>
  <c r="B48" i="382"/>
  <c r="B28" i="382"/>
  <c r="B8" i="382"/>
  <c r="B87" i="382"/>
  <c r="B67" i="382"/>
  <c r="B47" i="382"/>
  <c r="B27" i="382"/>
  <c r="B7" i="382"/>
  <c r="B86" i="382"/>
  <c r="B66" i="382"/>
  <c r="B46" i="382"/>
  <c r="B26" i="382"/>
  <c r="B6" i="382"/>
  <c r="B85" i="382"/>
  <c r="B65" i="382"/>
  <c r="B45" i="382"/>
  <c r="B25" i="382"/>
  <c r="B5" i="382"/>
  <c r="B84" i="382"/>
  <c r="B64" i="382"/>
  <c r="B44" i="382"/>
  <c r="B24" i="382"/>
  <c r="B4" i="382"/>
  <c r="B83" i="382"/>
  <c r="B63" i="382"/>
  <c r="B43" i="382"/>
  <c r="B23" i="382"/>
  <c r="B3" i="382"/>
  <c r="B82" i="382"/>
  <c r="B62" i="382"/>
  <c r="B42" i="382"/>
  <c r="B22" i="382"/>
  <c r="B2" i="382"/>
  <c r="J10" i="381"/>
  <c r="K10" i="381"/>
  <c r="H10" i="381"/>
  <c r="I10" i="381"/>
  <c r="J9" i="381"/>
  <c r="K9" i="381"/>
  <c r="H9" i="381"/>
  <c r="I9" i="381"/>
  <c r="J8" i="381"/>
  <c r="K8" i="381"/>
  <c r="H8" i="381"/>
  <c r="I8" i="381"/>
  <c r="J7" i="381"/>
  <c r="K7" i="381"/>
  <c r="H7" i="381"/>
  <c r="I7" i="381"/>
  <c r="K4" i="381"/>
  <c r="K2" i="381"/>
  <c r="K3" i="381"/>
  <c r="J4" i="381"/>
  <c r="J2" i="381"/>
  <c r="J3" i="381"/>
  <c r="I4" i="381"/>
  <c r="I2" i="381"/>
  <c r="I3" i="381"/>
  <c r="H4" i="381"/>
  <c r="H2" i="381"/>
  <c r="H3" i="381"/>
  <c r="B12" i="380"/>
  <c r="B13" i="380"/>
  <c r="B8" i="380"/>
  <c r="B11" i="380"/>
  <c r="B6" i="380"/>
  <c r="B7" i="380"/>
  <c r="B12" i="379"/>
  <c r="B13" i="379"/>
  <c r="B8" i="379"/>
  <c r="B11" i="379"/>
  <c r="B6" i="379"/>
  <c r="B7" i="379"/>
  <c r="B12" i="378"/>
  <c r="B13" i="378"/>
  <c r="B8" i="378"/>
  <c r="B11" i="378"/>
  <c r="B6" i="378"/>
  <c r="B7" i="378"/>
  <c r="B12" i="377"/>
  <c r="B13" i="377"/>
  <c r="B8" i="377"/>
  <c r="B11" i="377"/>
  <c r="B6" i="377"/>
  <c r="B7" i="377"/>
  <c r="D1" i="379"/>
  <c r="D1" i="378"/>
  <c r="D1" i="377"/>
  <c r="K10" i="382" l="1"/>
  <c r="J10" i="382"/>
  <c r="I10" i="382"/>
  <c r="H10" i="382"/>
  <c r="K9" i="382"/>
  <c r="J9" i="382"/>
  <c r="I9" i="382"/>
  <c r="H9" i="382"/>
  <c r="K8" i="382"/>
  <c r="J8" i="382"/>
  <c r="I8" i="382"/>
  <c r="H8" i="382"/>
  <c r="K7" i="382"/>
  <c r="J7" i="382"/>
  <c r="I7" i="382"/>
  <c r="H7" i="382"/>
  <c r="K4" i="382"/>
  <c r="K3" i="382"/>
  <c r="K2" i="382"/>
  <c r="J4" i="382"/>
  <c r="J3" i="382"/>
  <c r="J2" i="382"/>
  <c r="I4" i="382"/>
  <c r="I3" i="382"/>
  <c r="I2" i="382"/>
  <c r="H4" i="382"/>
  <c r="H2" i="382"/>
  <c r="H3" i="382"/>
  <c r="H15" i="381" a="1"/>
  <c r="H15" i="381" s="1"/>
  <c r="M7" i="381" a="1"/>
  <c r="M7" i="381" s="1"/>
  <c r="H14" i="381" s="1"/>
  <c r="H15" i="382" l="1" a="1"/>
  <c r="H15" i="382" s="1"/>
  <c r="M7" i="382" a="1"/>
  <c r="M7" i="382" s="1"/>
  <c r="H14" i="382" s="1"/>
  <c r="H19" i="381"/>
  <c r="H22" i="381" s="1"/>
  <c r="H19" i="382" l="1"/>
  <c r="H21" i="381"/>
  <c r="H20" i="381"/>
  <c r="H23" i="381"/>
  <c r="H22" i="382" l="1"/>
  <c r="H23" i="382"/>
  <c r="H20" i="382"/>
  <c r="H21" i="38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42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</futureMetadata>
  <cellMetadata count="1">
    <bk>
      <rc t="1" v="0"/>
    </bk>
  </cellMetadata>
  <valueMetadata count="142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</valueMetadata>
</metadata>
</file>

<file path=xl/sharedStrings.xml><?xml version="1.0" encoding="utf-8"?>
<sst xmlns="http://schemas.openxmlformats.org/spreadsheetml/2006/main" count="132" uniqueCount="33">
  <si>
    <t>PAIR</t>
  </si>
  <si>
    <t>START DATE</t>
  </si>
  <si>
    <t>END DATE</t>
  </si>
  <si>
    <t>enter pairs below</t>
  </si>
  <si>
    <t>USDJPY</t>
  </si>
  <si>
    <t>EURUSD</t>
  </si>
  <si>
    <t>Date</t>
  </si>
  <si>
    <t>Price</t>
  </si>
  <si>
    <t>Change %</t>
  </si>
  <si>
    <t>STATS252</t>
  </si>
  <si>
    <t>MEAN</t>
  </si>
  <si>
    <t>SD</t>
  </si>
  <si>
    <t>VARIANCE</t>
  </si>
  <si>
    <t>STATS90</t>
  </si>
  <si>
    <t>weights</t>
  </si>
  <si>
    <t>Mean</t>
  </si>
  <si>
    <t>Variance</t>
  </si>
  <si>
    <t>mean</t>
  </si>
  <si>
    <t>weight</t>
  </si>
  <si>
    <t>Portfolio</t>
  </si>
  <si>
    <t>Portfolio size</t>
  </si>
  <si>
    <t>Portfolio expected return (%)</t>
  </si>
  <si>
    <t>Portfolio SD</t>
  </si>
  <si>
    <t>Confidence level</t>
  </si>
  <si>
    <t>1 Day VaR</t>
  </si>
  <si>
    <t>10 Day VaR</t>
  </si>
  <si>
    <t>30 Day VaR</t>
  </si>
  <si>
    <t>60 Day VaR</t>
  </si>
  <si>
    <t>90 Day VaR</t>
  </si>
  <si>
    <t>Value At Risk</t>
  </si>
  <si>
    <t>SGDJPY</t>
  </si>
  <si>
    <t>GBPUSD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</si>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</sst>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14809]d/m/yyyy;@"/>
    <numFmt numFmtId="165" formatCode="_-[$¥-411]* #,##0.00_-;\-[$¥-411]* #,##0.00_-;_-[$¥-411]* &quot;-&quot;??_-;_-@_-"/>
    <numFmt numFmtId="166" formatCode="_([$$-409]* #,##0.00_);_([$$-409]* \(#,##0.00\);_([$$-409]* &quot;-&quot;??_);_(@_)"/>
    <numFmt numFmtId="167" formatCode="0.00000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167" fontId="0" fillId="0" borderId="0" xfId="0" applyNumberFormat="1"/>
    <xf numFmtId="9" fontId="0" fillId="0" borderId="0" xfId="0" applyNumberFormat="1"/>
    <xf numFmtId="43" fontId="0" fillId="0" borderId="0" xfId="1" applyFont="1"/>
    <xf numFmtId="0" fontId="0" fillId="2" borderId="0" xfId="0" applyFill="1"/>
    <xf numFmtId="167" fontId="0" fillId="0" borderId="0" xfId="2" applyNumberFormat="1" applyFont="1"/>
    <xf numFmtId="43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2">
    <dxf>
      <numFmt numFmtId="14" formatCode="0.00%"/>
    </dxf>
    <dxf>
      <numFmt numFmtId="166" formatCode="_([$$-409]* #,##0.00_);_([$$-409]* \(#,##0.00\);_([$$-409]* &quot;-&quot;??_);_(@_)"/>
    </dxf>
    <dxf>
      <numFmt numFmtId="19" formatCode="m/d/yyyy"/>
    </dxf>
    <dxf>
      <numFmt numFmtId="14" formatCode="0.00%"/>
    </dxf>
    <dxf>
      <numFmt numFmtId="165" formatCode="_-[$¥-411]* #,##0.00_-;\-[$¥-411]* #,##0.00_-;_-[$¥-411]* &quot;-&quot;??_-;_-@_-"/>
    </dxf>
    <dxf>
      <numFmt numFmtId="19" formatCode="m/d/yyyy"/>
    </dxf>
    <dxf>
      <numFmt numFmtId="14" formatCode="0.00%"/>
    </dxf>
    <dxf>
      <numFmt numFmtId="166" formatCode="_([$$-409]* #,##0.00_);_([$$-409]* \(#,##0.00\);_([$$-409]* &quot;-&quot;??_);_(@_)"/>
    </dxf>
    <dxf>
      <numFmt numFmtId="19" formatCode="m/d/yyyy"/>
    </dxf>
    <dxf>
      <numFmt numFmtId="14" formatCode="0.00%"/>
    </dxf>
    <dxf>
      <numFmt numFmtId="165" formatCode="_-[$¥-411]* #,##0.00_-;\-[$¥-411]* #,##0.00_-;_-[$¥-411]* &quot;-&quot;??_-;_-@_-"/>
    </dxf>
    <dxf>
      <numFmt numFmtId="19" formatCode="m/d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m/d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ichStyles" Target="richData/richStyles.xml"/><Relationship Id="rId10" Type="http://schemas.openxmlformats.org/officeDocument/2006/relationships/sharedStrings" Target="sharedString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Array" Target="richData/rdarray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0</xdr:row>
          <xdr:rowOff>127000</xdr:rowOff>
        </xdr:from>
        <xdr:to>
          <xdr:col>2</xdr:col>
          <xdr:colOff>1574800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stockhistory()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3</xdr:row>
          <xdr:rowOff>146050</xdr:rowOff>
        </xdr:from>
        <xdr:to>
          <xdr:col>2</xdr:col>
          <xdr:colOff>1574800</xdr:colOff>
          <xdr:row>6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fillNumbers()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6</xdr:row>
          <xdr:rowOff>171450</xdr:rowOff>
        </xdr:from>
        <xdr:to>
          <xdr:col>2</xdr:col>
          <xdr:colOff>1574800</xdr:colOff>
          <xdr:row>9</xdr:row>
          <xdr:rowOff>82550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generateReport252()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13</xdr:row>
          <xdr:rowOff>31750</xdr:rowOff>
        </xdr:from>
        <xdr:to>
          <xdr:col>2</xdr:col>
          <xdr:colOff>1574800</xdr:colOff>
          <xdr:row>15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deleteOtherSheets()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10</xdr:row>
          <xdr:rowOff>12700</xdr:rowOff>
        </xdr:from>
        <xdr:to>
          <xdr:col>2</xdr:col>
          <xdr:colOff>1574800</xdr:colOff>
          <xdr:row>12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generateReport90()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5">
  <a r="1" c="254">
    <v t="i">0</v>
    <v t="i">1</v>
    <v t="i">2</v>
    <v t="i">5</v>
    <v t="i">6</v>
    <v t="i">7</v>
    <v t="i">8</v>
    <v t="i">9</v>
    <v t="i">12</v>
    <v t="i">13</v>
    <v t="i">14</v>
    <v t="i">15</v>
    <v t="i">16</v>
    <v t="i">19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47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107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145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169</v>
    <v t="i">170</v>
    <v t="i">173</v>
    <v t="i">174</v>
    <v t="i">175</v>
    <v t="i">176</v>
    <v t="i">177</v>
    <v t="i">180</v>
    <v t="i">181</v>
    <v t="i">182</v>
    <v t="i">183</v>
    <v t="i">184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243</v>
    <v t="i">244</v>
    <v t="i">245</v>
    <v t="i">246</v>
    <v t="i">247</v>
    <v t="i">250</v>
    <v t="i">251</v>
    <v t="i">252</v>
    <v t="i">253</v>
    <v t="i">254</v>
    <v t="i">257</v>
    <v t="i">258</v>
    <v t="i">259</v>
    <v t="i">260</v>
    <v t="i">261</v>
    <v t="i">264</v>
    <v t="i">265</v>
    <v t="i">266</v>
    <v t="i">267</v>
    <v t="i">268</v>
    <v t="i">271</v>
    <v t="i">272</v>
    <v t="i">273</v>
    <v t="i">274</v>
    <v t="i">275</v>
    <v t="i">278</v>
    <v t="i">279</v>
    <v t="i">280</v>
    <v t="i">281</v>
    <v t="i">282</v>
    <v t="i">285</v>
    <v t="i">286</v>
    <v t="i">287</v>
    <v t="i">288</v>
    <v t="i">289</v>
    <v t="i">292</v>
    <v t="i">293</v>
    <v t="i">294</v>
    <v t="i">295</v>
    <v t="i">296</v>
    <v t="i">299</v>
    <v t="i">300</v>
    <v t="i">301</v>
    <v t="i">302</v>
    <v t="i">303</v>
    <v t="i">306</v>
    <v t="i">307</v>
    <v t="i">308</v>
    <v t="i">309</v>
    <v t="i">310</v>
    <v t="i">313</v>
    <v t="i">314</v>
    <v t="i">315</v>
    <v t="i">316</v>
    <v t="i">317</v>
    <v t="i">320</v>
    <v t="i">321</v>
    <v t="i">322</v>
    <v t="i">323</v>
    <v t="i">324</v>
    <v t="i">327</v>
    <v t="i">328</v>
    <v t="i">329</v>
    <v t="i">330</v>
    <v t="i">331</v>
    <v t="i">334</v>
    <v t="i">335</v>
    <v t="i">336</v>
    <v t="i">337</v>
    <v t="i">338</v>
    <v t="i">341</v>
    <v t="i">342</v>
    <v t="i">343</v>
    <v t="i">344</v>
    <v t="i">345</v>
    <v t="i">348</v>
    <v t="i">349</v>
    <v t="i">350</v>
    <v t="i">351</v>
    <v t="i">352</v>
    <v t="i">355</v>
  </a>
  <a r="1" c="254">
    <v>1.2728999999999999</v>
    <v>1.2806</v>
    <v>1.2857000000000001</v>
    <v>1.2811999999999999</v>
    <v>1.2790999999999999</v>
    <v>1.2796000000000001</v>
    <v>1.2750999999999999</v>
    <v>1.2739</v>
    <v>1.2726999999999999</v>
    <v>1.272</v>
    <v>1.2784</v>
    <v>1.2656000000000001</v>
    <v>1.2601</v>
    <v>1.2634000000000001</v>
    <v>1.2625</v>
    <v>1.2638</v>
    <v>1.2622</v>
    <v>1.2623</v>
    <v>1.2549999999999999</v>
    <v>1.2577</v>
    <v>1.2650999999999999</v>
    <v>1.264</v>
    <v>1.2636000000000001</v>
    <v>1.2652000000000001</v>
    <v>1.2676000000000001</v>
    <v>1.2531000000000001</v>
    <v>1.2549999999999999</v>
    <v>1.2450000000000001</v>
    <v>1.2444</v>
    <v>1.2423999999999999</v>
    <v>1.2445999999999999</v>
    <v>1.2435</v>
    <v>1.2371000000000001</v>
    <v>1.2349000000000001</v>
    <v>1.2447999999999999</v>
    <v>1.2461</v>
    <v>1.2513000000000001</v>
    <v>1.2488999999999999</v>
    <v>1.2561</v>
    <v>1.2490000000000001</v>
    <v>1.2524999999999999</v>
    <v>1.2531000000000001</v>
    <v>1.2544</v>
    <v>1.2561</v>
    <v>1.2504</v>
    <v>1.2496</v>
    <v>1.2522</v>
    <v>1.2521</v>
    <v>1.2558</v>
    <v>1.2587999999999999</v>
    <v>1.2685</v>
    <v>1.2665999999999999</v>
    <v>1.2699</v>
    <v>1.2704</v>
    <v>1.2706999999999999</v>
    <v>1.2715000000000001</v>
    <v>1.2697000000000001</v>
    <v>1.274</v>
    <v>1.2766999999999999</v>
    <v>1.276</v>
    <v>1.2706999999999999</v>
    <v>1.2729999999999999</v>
    <v>1.2739</v>
    <v>1.2804</v>
    <v>1.2763</v>
    <v>1.2785</v>
    <v>1.2787999999999999</v>
    <v>1.2721</v>
    <v>1.2729999999999999</v>
    <v>1.274</v>
    <v>1.2796000000000001</v>
    <v>1.2759</v>
    <v>1.2682</v>
    <v>1.2703</v>
    <v>1.2706999999999999</v>
    <v>1.2717000000000001</v>
    <v>1.2655000000000001</v>
    <v>1.2645</v>
    <v>1.2679</v>
    <v>1.2683</v>
    <v>1.262</v>
    <v>1.2638</v>
    <v>1.2642</v>
    <v>1.2646999999999999</v>
    <v>1.2684</v>
    <v>1.274</v>
    <v>1.2757000000000001</v>
    <v>1.2807999999999999</v>
    <v>1.2804</v>
    <v>1.2783</v>
    <v>1.2845</v>
    <v>1.2908999999999999</v>
    <v>1.2991999999999999</v>
    <v>1.2966</v>
    <v>1.2965</v>
    <v>1.3008</v>
    <v>1.2941</v>
    <v>1.2919</v>
    <v>1.2931999999999999</v>
    <v>1.2905</v>
    <v>1.2906</v>
    <v>1.2850999999999999</v>
    <v>1.2871999999999999</v>
    <v>1.2859</v>
    <v>1.2834000000000001</v>
    <v>1.2856000000000001</v>
    <v>1.2739</v>
    <v>1.2798</v>
    <v>1.2773000000000001</v>
    <v>1.2688999999999999</v>
    <v>1.2690999999999999</v>
    <v>1.2746999999999999</v>
    <v>1.2759</v>
    <v>1.2764</v>
    <v>1.2857000000000001</v>
    <v>1.2825</v>
    <v>1.2850999999999999</v>
    <v>1.2944</v>
    <v>1.2988</v>
    <v>1.3028999999999999</v>
    <v>1.3091999999999999</v>
    <v>1.3088</v>
    <v>1.3209</v>
    <v>1.319</v>
    <v>1.3254999999999999</v>
    <v>1.319</v>
    <v>1.3168</v>
    <v>1.3126</v>
    <v>1.3149</v>
    <v>1.3110999999999999</v>
    <v>1.3142</v>
    <v>1.3174999999999999</v>
    <v>1.3123</v>
    <v>1.3071999999999999</v>
    <v>1.3079000000000001</v>
    <v>1.3043</v>
    <v>1.3123</v>
    <v>1.3122</v>
    <v>1.3216000000000001</v>
    <v>1.3160000000000001</v>
    <v>1.3211999999999999</v>
    <v>1.3284</v>
    <v>1.3321000000000001</v>
    <v>1.3346</v>
    <v>1.3411999999999999</v>
    <v>1.3323</v>
    <v>1.3414999999999999</v>
    <v>1.3372999999999999</v>
    <v>1.337</v>
    <v>1.3285</v>
    <v>1.3267</v>
    <v>1.3124</v>
    <v>1.3116000000000001</v>
    <v>1.3083</v>
    <v>1.3104</v>
    <v>1.3069999999999999</v>
    <v>1.3058000000000001</v>
    <v>1.3066</v>
    <v>1.3059000000000001</v>
    <v>1.3071999999999999</v>
    <v>1.2989999999999999</v>
    <v>1.3009999999999999</v>
    <v>1.3048</v>
    <v>1.2984</v>
    <v>1.2983</v>
    <v>1.292</v>
    <v>1.2971999999999999</v>
    <v>1.2959000000000001</v>
    <v>1.2970999999999999</v>
    <v>1.3015000000000001</v>
    <v>1.2962</v>
    <v>1.2898000000000001</v>
    <v>1.2926</v>
    <v>1.2957000000000001</v>
    <v>1.3041</v>
    <v>1.2878000000000001</v>
    <v>1.2986</v>
    <v>1.2921</v>
    <v>1.2868999999999999</v>
    <v>1.2746999999999999</v>
    <v>1.2703</v>
    <v>1.2665</v>
    <v>1.2617</v>
    <v>1.2676000000000001</v>
    <v>1.2682</v>
    <v>1.2649999999999999</v>
    <v>1.2585999999999999</v>
    <v>1.2531000000000001</v>
    <v>1.2566999999999999</v>
    <v>1.2567999999999999</v>
    <v>1.2678</v>
    <v>1.2686999999999999</v>
    <v>1.2737000000000001</v>
    <v>1.2655000000000001</v>
    <v>1.2669999999999999</v>
    <v>1.2702</v>
    <v>1.2758</v>
    <v>1.2742</v>
    <v>1.2748999999999999</v>
    <v>1.2767999999999999</v>
    <v>1.2749999999999999</v>
    <v>1.2669999999999999</v>
    <v>1.2618</v>
    <v>1.2681</v>
    <v>1.2709999999999999</v>
    <v>1.2573000000000001</v>
    <v>1.2499</v>
    <v>1.2568999999999999</v>
    <v>1.2533000000000001</v>
    <v>1.2542</v>
    <v>1.2553000000000001</v>
    <v>1.2524999999999999</v>
    <v>1.2579</v>
    <v>1.2551000000000001</v>
    <v>1.2511000000000001</v>
    <v>1.2517</v>
    <v>1.238</v>
    <v>1.242</v>
    <v>1.2517</v>
    <v>1.2473000000000001</v>
    <v>1.2362</v>
    <v>1.2303999999999999</v>
    <v>1.2203999999999999</v>
    <v>1.22</v>
    <v>1.2215</v>
    <v>1.224</v>
    <v>1.2239</v>
    <v>1.2162999999999999</v>
    <v>1.2323</v>
    <v>1.2354000000000001</v>
    <v>1.2316</v>
    <v>1.2352000000000001</v>
    <v>1.2479</v>
    <v>1.2496</v>
    <v>1.2441</v>
    <v>1.2446999999999999</v>
    <v>1.2415</v>
    <v>1.2390000000000001</v>
    <v>1.2450000000000001</v>
    <v>1.2479</v>
    <v>1.2505999999999999</v>
    <v>1.2434000000000001</v>
    <v>1.2408999999999999</v>
    <v>1.2365999999999999</v>
    <v>1.2443</v>
    <v>1.2442</v>
    <v>1.2565</v>
    <v>1.2585</v>
    <v>1.2623</v>
    <v>1.2611000000000001</v>
    <v>1.2585</v>
    <v>1.2667999999999999</v>
    <v>1.2629999999999999</v>
    <v>1.2624</v>
  </a>
  <a r="1" c="254">
    <v>149.37</v>
    <v>148.03</v>
    <v>147.07</v>
    <v>146.94</v>
    <v>147.68</v>
    <v>147.74</v>
    <v>148.32</v>
    <v>149.02000000000001</v>
    <v>149.13999999999999</v>
    <v>150.85</v>
    <v>151.25</v>
    <v>151.61000000000001</v>
    <v>151.41999999999999</v>
    <v>151.41</v>
    <v>151.55000000000001</v>
    <v>151.32</v>
    <v>151.37</v>
    <v>151.31</v>
    <v>151.63</v>
    <v>151.55000000000001</v>
    <v>151.68</v>
    <v>151.33000000000001</v>
    <v>151.61000000000001</v>
    <v>151.79</v>
    <v>151.77000000000001</v>
    <v>153.16999999999999</v>
    <v>153.27000000000001</v>
    <v>153.28</v>
    <v>154.27000000000001</v>
    <v>154.71</v>
    <v>154.38</v>
    <v>154.63</v>
    <v>154.63</v>
    <v>154.84</v>
    <v>154.82</v>
    <v>155.34</v>
    <v>155.65</v>
    <v>158.33000000000001</v>
    <v>156.33000000000001</v>
    <v>157.80000000000001</v>
    <v>154.47</v>
    <v>153.63</v>
    <v>152.97999999999999</v>
    <v>153.88</v>
    <v>154.69</v>
    <v>155.47999999999999</v>
    <v>155.46</v>
    <v>155.72</v>
    <v>156.19999999999999</v>
    <v>156.41999999999999</v>
    <v>154.87</v>
    <v>155.38</v>
    <v>155.65</v>
    <v>156.24</v>
    <v>156.15</v>
    <v>156.77000000000001</v>
    <v>156.93</v>
    <v>156.99</v>
    <v>156.86000000000001</v>
    <v>157.16</v>
    <v>157.6</v>
    <v>156.81</v>
    <v>157.31</v>
    <v>156.1</v>
    <v>154.87</v>
    <v>156.1</v>
    <v>155.6</v>
    <v>156.69999999999999</v>
    <v>157.02000000000001</v>
    <v>157.07</v>
    <v>156.71</v>
    <v>157.02000000000001</v>
    <v>157.37</v>
    <v>157.71</v>
    <v>157.85</v>
    <v>158.08000000000001</v>
    <v>158.9</v>
    <v>159.79</v>
    <v>159.59</v>
    <v>159.69</v>
    <v>160.79</v>
    <v>160.74</v>
    <v>160.83000000000001</v>
    <v>161.44999999999999</v>
    <v>161.44</v>
    <v>161.68</v>
    <v>161.25</v>
    <v>160.72</v>
    <v>160.81</v>
    <v>161.31</v>
    <v>161.66999999999999</v>
    <v>158.80000000000001</v>
    <v>157.88999999999999</v>
    <v>158.01</v>
    <v>158.34</v>
    <v>156.16</v>
    <v>157.37</v>
    <v>157.49</v>
    <v>157</v>
    <v>155.58000000000001</v>
    <v>153.87</v>
    <v>153.93</v>
    <v>153.72</v>
    <v>154.01</v>
    <v>152.76</v>
    <v>149.97999999999999</v>
    <v>149.36000000000001</v>
    <v>146.54</v>
    <v>144.16999999999999</v>
    <v>144.30000000000001</v>
    <v>146.69</v>
    <v>147.28</v>
    <v>146.61000000000001</v>
    <v>147.19</v>
    <v>146.82</v>
    <v>147.31</v>
    <v>149.27000000000001</v>
    <v>147.58000000000001</v>
    <v>146.57</v>
    <v>145.25</v>
    <v>145.26</v>
    <v>146.26</v>
    <v>144.37</v>
    <v>144.52000000000001</v>
    <v>143.94999999999999</v>
    <v>144.57</v>
    <v>144.97999999999999</v>
    <v>146.16</v>
    <v>146.9</v>
    <v>145.47</v>
    <v>143.72999999999999</v>
    <v>143.44</v>
    <v>142.27000000000001</v>
    <v>143.16999999999999</v>
    <v>142.43</v>
    <v>142.35</v>
    <v>141.79</v>
    <v>140.82</v>
    <v>140.6</v>
    <v>142.4</v>
    <v>142.27000000000001</v>
    <v>142.62</v>
    <v>143.91</v>
    <v>143.6</v>
    <v>143.21</v>
    <v>144.75</v>
    <v>144.80000000000001</v>
    <v>142.19</v>
    <v>143.62</v>
    <v>143.56</v>
    <v>146.46</v>
    <v>146.91999999999999</v>
    <v>148.71</v>
    <v>148.18</v>
    <v>148.19</v>
    <v>149.29</v>
    <v>148.56</v>
    <v>149.13</v>
    <v>149.75</v>
    <v>149.19</v>
    <v>149.62</v>
    <v>150.19999999999999</v>
    <v>149.52000000000001</v>
    <v>150.83000000000001</v>
    <v>151.06</v>
    <v>152.75</v>
    <v>151.82</v>
    <v>152.30000000000001</v>
    <v>153.28</v>
    <v>153.35</v>
    <v>153.41</v>
    <v>152.03</v>
    <v>152.97999999999999</v>
    <v>152.13</v>
    <v>151.6</v>
    <v>154.63</v>
    <v>152.93</v>
    <v>152.63</v>
    <v>153.71</v>
    <v>154.6</v>
    <v>155.44999999999999</v>
    <v>156.25</v>
    <v>154.34</v>
    <v>154.65</v>
    <v>154.65</v>
    <v>155.43</v>
    <v>154.51</v>
    <v>154.74</v>
    <v>154.21</v>
    <v>153.1</v>
    <v>151.1</v>
    <v>151.54</v>
    <v>149.75</v>
    <v>149.59</v>
    <v>149.59</v>
    <v>150.6</v>
    <v>150.08000000000001</v>
    <v>150.03</v>
    <v>151.19</v>
    <v>151.94999999999999</v>
    <v>152.44999999999999</v>
    <v>152.62</v>
    <v>153.63999999999999</v>
    <v>154.15</v>
    <v>153.47999999999999</v>
    <v>154.80000000000001</v>
    <v>157.43</v>
    <v>156.41</v>
    <v>157.16</v>
    <v>157.18</v>
    <v>157.4</v>
    <v>158</v>
    <v>157.82</v>
    <v>156.83000000000001</v>
    <v>157.18</v>
    <v>156.87</v>
    <v>157.52000000000001</v>
    <v>157.27000000000001</v>
    <v>157.6</v>
    <v>158.02000000000001</v>
    <v>158.35</v>
    <v>158.13999999999999</v>
    <v>157.69</v>
    <v>157.47</v>
    <v>157.96</v>
    <v>156.47</v>
    <v>155.12</v>
    <v>156.30000000000001</v>
    <v>155.59</v>
    <v>155.5</v>
    <v>156.53</v>
    <v>156.05000000000001</v>
    <v>155.97999999999999</v>
    <v>154.49</v>
    <v>155.52000000000001</v>
    <v>155.19999999999999</v>
    <v>154.30000000000001</v>
    <v>155.18</v>
    <v>154.75</v>
    <v>154.33000000000001</v>
    <v>152.6</v>
    <v>151.44</v>
    <v>151.4</v>
    <v>151.99</v>
    <v>152.47999999999999</v>
    <v>154.41</v>
    <v>152.79</v>
    <v>152.33000000000001</v>
    <v>151.5</v>
    <v>152.05000000000001</v>
    <v>151.47</v>
    <v>149.63</v>
    <v>149.29</v>
    <v>149.71</v>
  </a>
  <a r="1" c="254">
    <v>111.5617</v>
    <v>111.0253</v>
    <v>110.45440000000001</v>
    <v>110.44799999999999</v>
    <v>110.7976</v>
    <v>110.866</v>
    <v>111.01049999999999</v>
    <v>111.37520000000001</v>
    <v>111.36409999999999</v>
    <v>112.3817</v>
    <v>112.8909</v>
    <v>112.8051</v>
    <v>112.2628</v>
    <v>112.4554</v>
    <v>112.60120000000001</v>
    <v>112.28019999999999</v>
    <v>112.0844</v>
    <v>112.136</v>
    <v>112.1026</v>
    <v>112.1347</v>
    <v>112.49720000000001</v>
    <v>112.196</v>
    <v>112.39530000000001</v>
    <v>112.63630000000001</v>
    <v>112.82340000000001</v>
    <v>113.126</v>
    <v>113.23139999999999</v>
    <v>112.5817</v>
    <v>113.16849999999999</v>
    <v>113.3241</v>
    <v>113.423</v>
    <v>113.5149</v>
    <v>113.5399</v>
    <v>113.67740000000001</v>
    <v>113.7118</v>
    <v>114.0277</v>
    <v>114.5243</v>
    <v>116.1641</v>
    <v>114.9823</v>
    <v>115.5621</v>
    <v>113.45569999999999</v>
    <v>113.3633</v>
    <v>113.3437</v>
    <v>113.86709999999999</v>
    <v>114.2045</v>
    <v>114.6692</v>
    <v>114.9087</v>
    <v>114.9564</v>
    <v>115.396</v>
    <v>115.6696</v>
    <v>115.1279</v>
    <v>115.40519999999999</v>
    <v>115.64749999999999</v>
    <v>115.9222</v>
    <v>115.87269999999999</v>
    <v>116.05719999999999</v>
    <v>116.08110000000001</v>
    <v>116.2544</v>
    <v>116.2012</v>
    <v>116.4961</v>
    <v>116.5718</v>
    <v>116.1383</v>
    <v>116.39660000000001</v>
    <v>115.9646</v>
    <v>114.974</v>
    <v>115.7153</v>
    <v>115.6018</v>
    <v>115.9024</v>
    <v>116.07040000000001</v>
    <v>116.08159999999999</v>
    <v>116.3141</v>
    <v>116.21639999999999</v>
    <v>116.2861</v>
    <v>116.6322</v>
    <v>116.8394</v>
    <v>117.0183</v>
    <v>117.31270000000001</v>
    <v>117.8827</v>
    <v>117.9614</v>
    <v>117.86109999999999</v>
    <v>118.3411</v>
    <v>118.29559999999999</v>
    <v>118.5625</v>
    <v>118.8706</v>
    <v>119.0385</v>
    <v>119.4003</v>
    <v>119.2413</v>
    <v>119.15779999999999</v>
    <v>119.1185</v>
    <v>119.4004</v>
    <v>119.8532</v>
    <v>118.2353</v>
    <v>117.7317</v>
    <v>117.58450000000001</v>
    <v>117.7774</v>
    <v>116.42440000000001</v>
    <v>117.0659</v>
    <v>117.0146</v>
    <v>116.64190000000001</v>
    <v>115.6127</v>
    <v>114.5356</v>
    <v>114.58240000000001</v>
    <v>114.4772</v>
    <v>114.63339999999999</v>
    <v>113.7962</v>
    <v>112.2353</v>
    <v>111.7295</v>
    <v>110.4379</v>
    <v>108.7911</v>
    <v>108.84820000000001</v>
    <v>110.476</v>
    <v>111.08759999999999</v>
    <v>110.6407</v>
    <v>111.0868</v>
    <v>111.3952</v>
    <v>111.86969999999999</v>
    <v>112.8364</v>
    <v>112.1514</v>
    <v>112.0138</v>
    <v>111.2856</v>
    <v>111.2422</v>
    <v>111.5467</v>
    <v>110.95140000000001</v>
    <v>110.8027</v>
    <v>110.6032</v>
    <v>110.9083</v>
    <v>111.2407</v>
    <v>111.84569999999999</v>
    <v>112.369</v>
    <v>111.2837</v>
    <v>110.2055</v>
    <v>110.33</v>
    <v>109.2116</v>
    <v>109.6416</v>
    <v>109.1585</v>
    <v>109.155</v>
    <v>108.95189999999999</v>
    <v>108.49</v>
    <v>108.5463</v>
    <v>109.79179999999999</v>
    <v>109.8271</v>
    <v>110.3536</v>
    <v>111.4199</v>
    <v>111.2402</v>
    <v>111.5681</v>
    <v>112.17449999999999</v>
    <v>112.83410000000001</v>
    <v>110.93859999999999</v>
    <v>111.74039999999999</v>
    <v>111.4423</v>
    <v>113.35039999999999</v>
    <v>113.19929999999999</v>
    <v>113.9628</v>
    <v>113.6088</v>
    <v>113.6426</v>
    <v>114.1972</v>
    <v>113.77809999999999</v>
    <v>114.27589999999999</v>
    <v>114.444</v>
    <v>113.929</v>
    <v>113.9267</v>
    <v>114.25530000000001</v>
    <v>114.0939</v>
    <v>114.5776</v>
    <v>114.7349</v>
    <v>115.43980000000001</v>
    <v>115.1722</v>
    <v>115.21299999999999</v>
    <v>115.8579</v>
    <v>115.77079999999999</v>
    <v>116.0076</v>
    <v>115.1568</v>
    <v>115.31740000000001</v>
    <v>115.2587</v>
    <v>115.31910000000001</v>
    <v>115.9406</v>
    <v>115.8385</v>
    <v>115.03619999999999</v>
    <v>115.199</v>
    <v>115.50239999999999</v>
    <v>115.7569</v>
    <v>116.033</v>
    <v>114.93040000000001</v>
    <v>115.4966</v>
    <v>115.5398</v>
    <v>115.699</v>
    <v>114.7238</v>
    <v>114.8946</v>
    <v>114.56059999999999</v>
    <v>113.6769</v>
    <v>112.7191</v>
    <v>112.84529999999999</v>
    <v>111.7788</v>
    <v>111.1367</v>
    <v>111.235</v>
    <v>112.0536</v>
    <v>112.0502</v>
    <v>111.71259999999999</v>
    <v>112.7694</v>
    <v>113.235</v>
    <v>113.3467</v>
    <v>113.3036</v>
    <v>113.88330000000001</v>
    <v>114.1936</v>
    <v>113.672</v>
    <v>113.55629999999999</v>
    <v>115.6383</v>
    <v>115.3381</v>
    <v>115.76309999999999</v>
    <v>115.6075</v>
    <v>115.8205</v>
    <v>116.2534</v>
    <v>116.11239999999999</v>
    <v>115.2992</v>
    <v>115.0827</v>
    <v>114.8053</v>
    <v>114.8691</v>
    <v>114.7454</v>
    <v>115.59220000000001</v>
    <v>115.85429999999999</v>
    <v>115.7529</v>
    <v>115.4812</v>
    <v>114.9679</v>
    <v>114.9584</v>
    <v>115.5692</v>
    <v>114.4456</v>
    <v>113.52460000000001</v>
    <v>114.0959</v>
    <v>114.65730000000001</v>
    <v>114.9468</v>
    <v>115.4692</v>
    <v>115.08110000000001</v>
    <v>115.8669</v>
    <v>114.8454</v>
    <v>115.1062</v>
    <v>114.96299999999999</v>
    <v>114.00069999999999</v>
    <v>114.1617</v>
    <v>113.82859999999999</v>
    <v>114.1241</v>
    <v>113.12179999999999</v>
    <v>112.1279</v>
    <v>111.7013</v>
    <v>112.1366</v>
    <v>112.67270000000001</v>
    <v>114.0652</v>
    <v>113.7169</v>
    <v>113.6876</v>
    <v>112.8828</v>
    <v>113.242</v>
    <v>112.768</v>
    <v>112.18510000000001</v>
    <v>111.6688</v>
    <v>111.7739</v>
  </a>
  <a r="1" c="254">
    <v>1.0896999999999999</v>
    <v>1.0946</v>
    <v>1.0936999999999999</v>
    <v>1.0926</v>
    <v>1.0924</v>
    <v>1.0946</v>
    <v>1.0881000000000001</v>
    <v>1.0887</v>
    <v>1.0871</v>
    <v>1.0865</v>
    <v>1.0918000000000001</v>
    <v>1.0860000000000001</v>
    <v>1.0805</v>
    <v>1.0835999999999999</v>
    <v>1.083</v>
    <v>1.0826</v>
    <v>1.0787</v>
    <v>1.0792999999999999</v>
    <v>1.0743</v>
    <v>1.0768</v>
    <v>1.0834999999999999</v>
    <v>1.0834999999999999</v>
    <v>1.0834999999999999</v>
    <v>1.0858000000000001</v>
    <v>1.0854999999999999</v>
    <v>1.0742</v>
    <v>1.0724</v>
    <v>1.0642</v>
    <v>1.0622</v>
    <v>1.0617000000000001</v>
    <v>1.0670999999999999</v>
    <v>1.0643</v>
    <v>1.0653999999999999</v>
    <v>1.0653999999999999</v>
    <v>1.0699000000000001</v>
    <v>1.0697000000000001</v>
    <v>1.0729</v>
    <v>1.0691999999999999</v>
    <v>1.0719000000000001</v>
    <v>1.0665</v>
    <v>1.0709</v>
    <v>1.0725</v>
    <v>1.0758000000000001</v>
    <v>1.0768</v>
    <v>1.0751999999999999</v>
    <v>1.0745</v>
    <v>1.0781000000000001</v>
    <v>1.0769</v>
    <v>1.0788</v>
    <v>1.0818000000000001</v>
    <v>1.0882000000000001</v>
    <v>1.0865</v>
    <v>1.087</v>
    <v>1.0854999999999999</v>
    <v>1.0853999999999999</v>
    <v>1.0821000000000001</v>
    <v>1.0812999999999999</v>
    <v>1.0845</v>
    <v>1.0858000000000001</v>
    <v>1.0854999999999999</v>
    <v>1.08</v>
    <v>1.0831999999999999</v>
    <v>1.0841000000000001</v>
    <v>1.0902000000000001</v>
    <v>1.0878000000000001</v>
    <v>1.0868</v>
    <v>1.0888</v>
    <v>1.08</v>
    <v>1.0763</v>
    <v>1.0739000000000001</v>
    <v>1.0807</v>
    <v>1.0734999999999999</v>
    <v>1.07</v>
    <v>1.0733999999999999</v>
    <v>1.0738000000000001</v>
    <v>1.0742</v>
    <v>1.07</v>
    <v>1.0690999999999999</v>
    <v>1.0731999999999999</v>
    <v>1.0712999999999999</v>
    <v>1.0679000000000001</v>
    <v>1.0702</v>
    <v>1.0712999999999999</v>
    <v>1.0738000000000001</v>
    <v>1.0744</v>
    <v>1.0786</v>
    <v>1.081</v>
    <v>1.0835999999999999</v>
    <v>1.0822000000000001</v>
    <v>1.0811999999999999</v>
    <v>1.083</v>
    <v>1.0865</v>
    <v>1.0906</v>
    <v>1.0893999999999999</v>
    <v>1.0896999999999999</v>
    <v>1.0936999999999999</v>
    <v>1.0895999999999999</v>
    <v>1.0876999999999999</v>
    <v>1.0889</v>
    <v>1.0851</v>
    <v>1.0839000000000001</v>
    <v>1.0844</v>
    <v>1.0857000000000001</v>
    <v>1.0819000000000001</v>
    <v>1.0814999999999999</v>
    <v>1.0825</v>
    <v>1.0790999999999999</v>
    <v>1.0908</v>
    <v>1.0952</v>
    <v>1.093</v>
    <v>1.0921000000000001</v>
    <v>1.0918000000000001</v>
    <v>1.0915999999999999</v>
    <v>1.0931</v>
    <v>1.0992</v>
    <v>1.1012</v>
    <v>1.0971</v>
    <v>1.1028</v>
    <v>1.1085</v>
    <v>1.113</v>
    <v>1.115</v>
    <v>1.1112</v>
    <v>1.119</v>
    <v>1.1161000000000001</v>
    <v>1.1184000000000001</v>
    <v>1.1120000000000001</v>
    <v>1.1076999999999999</v>
    <v>1.1047</v>
    <v>1.1071</v>
    <v>1.1043000000000001</v>
    <v>1.1082000000000001</v>
    <v>1.111</v>
    <v>1.1083000000000001</v>
    <v>1.1033999999999999</v>
    <v>1.1019000000000001</v>
    <v>1.1011</v>
    <v>1.1073999999999999</v>
    <v>1.1075999999999999</v>
    <v>1.1132</v>
    <v>1.1113</v>
    <v>1.1117999999999999</v>
    <v>1.1161000000000001</v>
    <v>1.1162000000000001</v>
    <v>1.1112</v>
    <v>1.1180000000000001</v>
    <v>1.1132</v>
    <v>1.1175999999999999</v>
    <v>1.1163000000000001</v>
    <v>1.1133999999999999</v>
    <v>1.1067</v>
    <v>1.1045</v>
    <v>1.1031</v>
    <v>1.0975999999999999</v>
    <v>1.0973999999999999</v>
    <v>1.0980000000000001</v>
    <v>1.0939000000000001</v>
    <v>1.0934999999999999</v>
    <v>1.0936999999999999</v>
    <v>1.0909</v>
    <v>1.089</v>
    <v>1.0861000000000001</v>
    <v>1.0831</v>
    <v>1.0866</v>
    <v>1.0814999999999999</v>
    <v>1.0797000000000001</v>
    <v>1.0781000000000001</v>
    <v>1.0827</v>
    <v>1.0792999999999999</v>
    <v>1.0811999999999999</v>
    <v>1.0818000000000001</v>
    <v>1.0854999999999999</v>
    <v>1.0883</v>
    <v>1.0833999999999999</v>
    <v>1.0876999999999999</v>
    <v>1.093</v>
    <v>1.0728</v>
    <v>1.0804</v>
    <v>1.0718000000000001</v>
    <v>1.0653999999999999</v>
    <v>1.0623</v>
    <v>1.0563</v>
    <v>1.0529999999999999</v>
    <v>1.0541</v>
    <v>1.0599000000000001</v>
    <v>1.0595000000000001</v>
    <v>1.0543</v>
    <v>1.0472999999999999</v>
    <v>1.0417000000000001</v>
    <v>1.0494000000000001</v>
    <v>1.0486</v>
    <v>1.0564</v>
    <v>1.0552999999999999</v>
    <v>1.0575000000000001</v>
    <v>1.0497000000000001</v>
    <v>1.0508999999999999</v>
    <v>1.0509999999999999</v>
    <v>1.0586</v>
    <v>1.0568</v>
    <v>1.0551999999999999</v>
    <v>1.0526</v>
    <v>1.0494000000000001</v>
    <v>1.0467</v>
    <v>1.0502</v>
    <v>1.0509999999999999</v>
    <v>1.0488999999999999</v>
    <v>1.0351999999999999</v>
    <v>1.0362</v>
    <v>1.0428999999999999</v>
    <v>1.0405</v>
    <v>1.0397000000000001</v>
    <v>1.0404</v>
    <v>1.0422</v>
    <v>1.0427</v>
    <v>1.0407</v>
    <v>1.0353000000000001</v>
    <v>1.0355000000000001</v>
    <v>1.0265</v>
    <v>1.0307999999999999</v>
    <v>1.0389999999999999</v>
    <v>1.0339</v>
    <v>1.0318000000000001</v>
    <v>1.0298</v>
    <v>1.0244</v>
    <v>1.0244</v>
    <v>1.0306999999999999</v>
    <v>1.0288999999999999</v>
    <v>1.0298</v>
    <v>1.0270999999999999</v>
    <v>1.0414000000000001</v>
    <v>1.0428999999999999</v>
    <v>1.0407</v>
    <v>1.0415000000000001</v>
    <v>1.0492999999999999</v>
    <v>1.0490999999999999</v>
    <v>1.0427999999999999</v>
    <v>1.042</v>
    <v>1.0389999999999999</v>
    <v>1.0362</v>
    <v>1.0344</v>
    <v>1.0377000000000001</v>
    <v>1.0402</v>
    <v>1.0381</v>
    <v>1.0327</v>
    <v>1.0306</v>
    <v>1.036</v>
    <v>1.0382</v>
    <v>1.0464</v>
    <v>1.0490999999999999</v>
    <v>1.0482</v>
    <v>1.0445</v>
    <v>1.0421</v>
    <v>1.05</v>
    <v>1.0458000000000001</v>
    <v>1.0466</v>
  </a>
</arrayData>
</file>

<file path=xl/richData/rdrichvalue.xml><?xml version="1.0" encoding="utf-8"?>
<rvData xmlns="http://schemas.microsoft.com/office/spreadsheetml/2017/richdata" count="1429">
  <rv s="0">
    <fb>45499</fb>
    <v>0</v>
  </rv>
  <rv s="0">
    <fb>45502</fb>
    <v>0</v>
  </rv>
  <rv s="0">
    <fb>45503</fb>
    <v>0</v>
  </rv>
  <rv s="0">
    <fb>45504</fb>
    <v>0</v>
  </rv>
  <rv s="0">
    <fb>45505</fb>
    <v>0</v>
  </rv>
  <rv s="0">
    <fb>45506</fb>
    <v>0</v>
  </rv>
  <rv s="0">
    <fb>45509</fb>
    <v>0</v>
  </rv>
  <rv s="0">
    <fb>45510</fb>
    <v>0</v>
  </rv>
  <rv s="0">
    <fb>45511</fb>
    <v>0</v>
  </rv>
  <rv s="0">
    <fb>45512</fb>
    <v>0</v>
  </rv>
  <rv s="0">
    <fb>45513</fb>
    <v>0</v>
  </rv>
  <rv s="0">
    <fb>45516</fb>
    <v>0</v>
  </rv>
  <rv s="0">
    <fb>45517</fb>
    <v>0</v>
  </rv>
  <rv s="0">
    <fb>45518</fb>
    <v>0</v>
  </rv>
  <rv s="0">
    <fb>45519</fb>
    <v>0</v>
  </rv>
  <rv s="0">
    <fb>45520</fb>
    <v>0</v>
  </rv>
  <rv s="0">
    <fb>45523</fb>
    <v>0</v>
  </rv>
  <rv s="0">
    <fb>45524</fb>
    <v>0</v>
  </rv>
  <rv s="0">
    <fb>45525</fb>
    <v>0</v>
  </rv>
  <rv s="0">
    <fb>45526</fb>
    <v>0</v>
  </rv>
  <rv s="0">
    <fb>45527</fb>
    <v>0</v>
  </rv>
  <rv s="0">
    <fb>45530</fb>
    <v>0</v>
  </rv>
  <rv s="0">
    <fb>45531</fb>
    <v>0</v>
  </rv>
  <rv s="0">
    <fb>45532</fb>
    <v>0</v>
  </rv>
  <rv s="0">
    <fb>45533</fb>
    <v>0</v>
  </rv>
  <rv s="0">
    <fb>45534</fb>
    <v>0</v>
  </rv>
  <rv s="0">
    <fb>45537</fb>
    <v>0</v>
  </rv>
  <rv s="0">
    <fb>45538</fb>
    <v>0</v>
  </rv>
  <rv s="0">
    <fb>45539</fb>
    <v>0</v>
  </rv>
  <rv s="0">
    <fb>45540</fb>
    <v>0</v>
  </rv>
  <rv s="0">
    <fb>45541</fb>
    <v>0</v>
  </rv>
  <rv s="0">
    <fb>45544</fb>
    <v>0</v>
  </rv>
  <rv s="0">
    <fb>45545</fb>
    <v>0</v>
  </rv>
  <rv s="0">
    <fb>45546</fb>
    <v>0</v>
  </rv>
  <rv s="0">
    <fb>45547</fb>
    <v>0</v>
  </rv>
  <rv s="0">
    <fb>45548</fb>
    <v>0</v>
  </rv>
  <rv s="0">
    <fb>45551</fb>
    <v>0</v>
  </rv>
  <rv s="0">
    <fb>45552</fb>
    <v>0</v>
  </rv>
  <rv s="0">
    <fb>45553</fb>
    <v>0</v>
  </rv>
  <rv s="0">
    <fb>45554</fb>
    <v>0</v>
  </rv>
  <rv s="0">
    <fb>45555</fb>
    <v>0</v>
  </rv>
  <rv s="0">
    <fb>45558</fb>
    <v>0</v>
  </rv>
  <rv s="0">
    <fb>45559</fb>
    <v>0</v>
  </rv>
  <rv s="0">
    <fb>45560</fb>
    <v>0</v>
  </rv>
  <rv s="0">
    <fb>45561</fb>
    <v>0</v>
  </rv>
  <rv s="0">
    <fb>45562</fb>
    <v>0</v>
  </rv>
  <rv s="0">
    <fb>45565</fb>
    <v>0</v>
  </rv>
  <rv s="0">
    <fb>45566</fb>
    <v>0</v>
  </rv>
  <rv s="0">
    <fb>45567</fb>
    <v>0</v>
  </rv>
  <rv s="0">
    <fb>45568</fb>
    <v>0</v>
  </rv>
  <rv s="0">
    <fb>45569</fb>
    <v>0</v>
  </rv>
  <rv s="0">
    <fb>45572</fb>
    <v>0</v>
  </rv>
  <rv s="0">
    <fb>45573</fb>
    <v>0</v>
  </rv>
  <rv s="0">
    <fb>45574</fb>
    <v>0</v>
  </rv>
  <rv s="0">
    <fb>45575</fb>
    <v>0</v>
  </rv>
  <rv s="0">
    <fb>45576</fb>
    <v>0</v>
  </rv>
  <rv s="0">
    <fb>45579</fb>
    <v>0</v>
  </rv>
  <rv s="0">
    <fb>45580</fb>
    <v>0</v>
  </rv>
  <rv s="0">
    <fb>45581</fb>
    <v>0</v>
  </rv>
  <rv s="0">
    <fb>45582</fb>
    <v>0</v>
  </rv>
  <rv s="0">
    <fb>45583</fb>
    <v>0</v>
  </rv>
  <rv s="0">
    <fb>45586</fb>
    <v>0</v>
  </rv>
  <rv s="0">
    <fb>45587</fb>
    <v>0</v>
  </rv>
  <rv s="0">
    <fb>45588</fb>
    <v>0</v>
  </rv>
  <rv s="0">
    <fb>45589</fb>
    <v>0</v>
  </rv>
  <rv s="0">
    <fb>45590</fb>
    <v>0</v>
  </rv>
  <rv s="0">
    <fb>45593</fb>
    <v>0</v>
  </rv>
  <rv s="0">
    <fb>45594</fb>
    <v>0</v>
  </rv>
  <rv s="0">
    <fb>45595</fb>
    <v>0</v>
  </rv>
  <rv s="0">
    <fb>45596</fb>
    <v>0</v>
  </rv>
  <rv s="0">
    <fb>45597</fb>
    <v>0</v>
  </rv>
  <rv s="0">
    <fb>45600</fb>
    <v>0</v>
  </rv>
  <rv s="0">
    <fb>45601</fb>
    <v>0</v>
  </rv>
  <rv s="0">
    <fb>45602</fb>
    <v>0</v>
  </rv>
  <rv s="0">
    <fb>45603</fb>
    <v>0</v>
  </rv>
  <rv s="0">
    <fb>45604</fb>
    <v>0</v>
  </rv>
  <rv s="0">
    <fb>45607</fb>
    <v>0</v>
  </rv>
  <rv s="0">
    <fb>45608</fb>
    <v>0</v>
  </rv>
  <rv s="0">
    <fb>45609</fb>
    <v>0</v>
  </rv>
  <rv s="0">
    <fb>45610</fb>
    <v>0</v>
  </rv>
  <rv s="0">
    <fb>45611</fb>
    <v>0</v>
  </rv>
  <rv s="0">
    <fb>45614</fb>
    <v>0</v>
  </rv>
  <rv s="0">
    <fb>45615</fb>
    <v>0</v>
  </rv>
  <rv s="0">
    <fb>45616</fb>
    <v>0</v>
  </rv>
  <rv s="0">
    <fb>45617</fb>
    <v>0</v>
  </rv>
  <rv s="0">
    <fb>45618</fb>
    <v>0</v>
  </rv>
  <rv s="0">
    <fb>45621</fb>
    <v>0</v>
  </rv>
  <rv s="0">
    <fb>45622</fb>
    <v>0</v>
  </rv>
  <rv s="0">
    <fb>45623</fb>
    <v>0</v>
  </rv>
  <rv s="0">
    <fb>45624</fb>
    <v>0</v>
  </rv>
  <rv s="0">
    <fb>45273</fb>
    <v>0</v>
  </rv>
  <rv s="0">
    <fb>45274</fb>
    <v>0</v>
  </rv>
  <rv s="0">
    <fb>45275</fb>
    <v>0</v>
  </rv>
  <rv s="0">
    <fb>45278</fb>
    <v>0</v>
  </rv>
  <rv s="0">
    <fb>45279</fb>
    <v>0</v>
  </rv>
  <rv s="0">
    <fb>45280</fb>
    <v>0</v>
  </rv>
  <rv s="0">
    <fb>45281</fb>
    <v>0</v>
  </rv>
  <rv s="0">
    <fb>45282</fb>
    <v>0</v>
  </rv>
  <rv s="0">
    <fb>45285</fb>
    <v>0</v>
  </rv>
  <rv s="0">
    <fb>45286</fb>
    <v>0</v>
  </rv>
  <rv s="0">
    <fb>45287</fb>
    <v>0</v>
  </rv>
  <rv s="0">
    <fb>45288</fb>
    <v>0</v>
  </rv>
  <rv s="0">
    <fb>45289</fb>
    <v>0</v>
  </rv>
  <rv s="0">
    <fb>45292</fb>
    <v>0</v>
  </rv>
  <rv s="0">
    <fb>45293</fb>
    <v>0</v>
  </rv>
  <rv s="0">
    <fb>45294</fb>
    <v>0</v>
  </rv>
  <rv s="0">
    <fb>45295</fb>
    <v>0</v>
  </rv>
  <rv s="0">
    <fb>45296</fb>
    <v>0</v>
  </rv>
  <rv s="0">
    <fb>45299</fb>
    <v>0</v>
  </rv>
  <rv s="0">
    <fb>45300</fb>
    <v>0</v>
  </rv>
  <rv s="0">
    <fb>45301</fb>
    <v>0</v>
  </rv>
  <rv s="0">
    <fb>45302</fb>
    <v>0</v>
  </rv>
  <rv s="0">
    <fb>45303</fb>
    <v>0</v>
  </rv>
  <rv s="0">
    <fb>45306</fb>
    <v>0</v>
  </rv>
  <rv s="0">
    <fb>45307</fb>
    <v>0</v>
  </rv>
  <rv s="0">
    <fb>45308</fb>
    <v>0</v>
  </rv>
  <rv s="0">
    <fb>45309</fb>
    <v>0</v>
  </rv>
  <rv s="0">
    <fb>45310</fb>
    <v>0</v>
  </rv>
  <rv s="0">
    <fb>45313</fb>
    <v>0</v>
  </rv>
  <rv s="0">
    <fb>45314</fb>
    <v>0</v>
  </rv>
  <rv s="0">
    <fb>45315</fb>
    <v>0</v>
  </rv>
  <rv s="0">
    <fb>45316</fb>
    <v>0</v>
  </rv>
  <rv s="0">
    <fb>45317</fb>
    <v>0</v>
  </rv>
  <rv s="0">
    <fb>45320</fb>
    <v>0</v>
  </rv>
  <rv s="0">
    <fb>45321</fb>
    <v>0</v>
  </rv>
  <rv s="0">
    <fb>45322</fb>
    <v>0</v>
  </rv>
  <rv s="0">
    <fb>45323</fb>
    <v>0</v>
  </rv>
  <rv s="0">
    <fb>45324</fb>
    <v>0</v>
  </rv>
  <rv s="0">
    <fb>45327</fb>
    <v>0</v>
  </rv>
  <rv s="0">
    <fb>45328</fb>
    <v>0</v>
  </rv>
  <rv s="0">
    <fb>45329</fb>
    <v>0</v>
  </rv>
  <rv s="0">
    <fb>45330</fb>
    <v>0</v>
  </rv>
  <rv s="0">
    <fb>45331</fb>
    <v>0</v>
  </rv>
  <rv s="0">
    <fb>45334</fb>
    <v>0</v>
  </rv>
  <rv s="0">
    <fb>45335</fb>
    <v>0</v>
  </rv>
  <rv s="0">
    <fb>45336</fb>
    <v>0</v>
  </rv>
  <rv s="0">
    <fb>45337</fb>
    <v>0</v>
  </rv>
  <rv s="0">
    <fb>45338</fb>
    <v>0</v>
  </rv>
  <rv s="0">
    <fb>45341</fb>
    <v>0</v>
  </rv>
  <rv s="0">
    <fb>45342</fb>
    <v>0</v>
  </rv>
  <rv s="0">
    <fb>45343</fb>
    <v>0</v>
  </rv>
  <rv s="0">
    <fb>45344</fb>
    <v>0</v>
  </rv>
  <rv s="0">
    <fb>45345</fb>
    <v>0</v>
  </rv>
  <rv s="0">
    <fb>45348</fb>
    <v>0</v>
  </rv>
  <rv s="0">
    <fb>45349</fb>
    <v>0</v>
  </rv>
  <rv s="0">
    <fb>45350</fb>
    <v>0</v>
  </rv>
  <rv s="0">
    <fb>45351</fb>
    <v>0</v>
  </rv>
  <rv s="0">
    <fb>45352</fb>
    <v>0</v>
  </rv>
  <rv s="0">
    <fb>45355</fb>
    <v>0</v>
  </rv>
  <rv s="0">
    <fb>45356</fb>
    <v>0</v>
  </rv>
  <rv s="0">
    <fb>45357</fb>
    <v>0</v>
  </rv>
  <rv s="0">
    <fb>45358</fb>
    <v>0</v>
  </rv>
  <rv s="0">
    <fb>45359</fb>
    <v>0</v>
  </rv>
  <rv s="0">
    <fb>45362</fb>
    <v>0</v>
  </rv>
  <rv s="0">
    <fb>45363</fb>
    <v>0</v>
  </rv>
  <rv s="0">
    <fb>45364</fb>
    <v>0</v>
  </rv>
  <rv s="0">
    <fb>45365</fb>
    <v>0</v>
  </rv>
  <rv s="0">
    <fb>45366</fb>
    <v>0</v>
  </rv>
  <rv s="0">
    <fb>45369</fb>
    <v>0</v>
  </rv>
  <rv s="0">
    <fb>45370</fb>
    <v>0</v>
  </rv>
  <rv s="0">
    <fb>45371</fb>
    <v>0</v>
  </rv>
  <rv s="0">
    <fb>45372</fb>
    <v>0</v>
  </rv>
  <rv s="0">
    <fb>45373</fb>
    <v>0</v>
  </rv>
  <rv s="0">
    <fb>45376</fb>
    <v>0</v>
  </rv>
  <rv s="0">
    <fb>45377</fb>
    <v>0</v>
  </rv>
  <rv s="0">
    <fb>45378</fb>
    <v>0</v>
  </rv>
  <rv s="0">
    <fb>45379</fb>
    <v>0</v>
  </rv>
  <rv s="0">
    <fb>45380</fb>
    <v>0</v>
  </rv>
  <rv s="0">
    <fb>45383</fb>
    <v>0</v>
  </rv>
  <rv s="0">
    <fb>45384</fb>
    <v>0</v>
  </rv>
  <rv s="0">
    <fb>45385</fb>
    <v>0</v>
  </rv>
  <rv s="0">
    <fb>45386</fb>
    <v>0</v>
  </rv>
  <rv s="0">
    <fb>45387</fb>
    <v>0</v>
  </rv>
  <rv s="0">
    <fb>45390</fb>
    <v>0</v>
  </rv>
  <rv s="0">
    <fb>45391</fb>
    <v>0</v>
  </rv>
  <rv s="0">
    <fb>45392</fb>
    <v>0</v>
  </rv>
  <rv s="0">
    <fb>45393</fb>
    <v>0</v>
  </rv>
  <rv s="0">
    <fb>45394</fb>
    <v>0</v>
  </rv>
  <rv s="0">
    <fb>45397</fb>
    <v>0</v>
  </rv>
  <rv s="0">
    <fb>45398</fb>
    <v>0</v>
  </rv>
  <rv s="0">
    <fb>45399</fb>
    <v>0</v>
  </rv>
  <rv s="0">
    <fb>45400</fb>
    <v>0</v>
  </rv>
  <rv s="0">
    <fb>45401</fb>
    <v>0</v>
  </rv>
  <rv s="0">
    <fb>45404</fb>
    <v>0</v>
  </rv>
  <rv s="0">
    <fb>45405</fb>
    <v>0</v>
  </rv>
  <rv s="0">
    <fb>45406</fb>
    <v>0</v>
  </rv>
  <rv s="0">
    <fb>45407</fb>
    <v>0</v>
  </rv>
  <rv s="0">
    <fb>45408</fb>
    <v>0</v>
  </rv>
  <rv s="0">
    <fb>45411</fb>
    <v>0</v>
  </rv>
  <rv s="0">
    <fb>45412</fb>
    <v>0</v>
  </rv>
  <rv s="0">
    <fb>45413</fb>
    <v>0</v>
  </rv>
  <rv s="0">
    <fb>45414</fb>
    <v>0</v>
  </rv>
  <rv s="0">
    <fb>45415</fb>
    <v>0</v>
  </rv>
  <rv s="0">
    <fb>45418</fb>
    <v>0</v>
  </rv>
  <rv s="0">
    <fb>45419</fb>
    <v>0</v>
  </rv>
  <rv s="0">
    <fb>45420</fb>
    <v>0</v>
  </rv>
  <rv s="0">
    <fb>45421</fb>
    <v>0</v>
  </rv>
  <rv s="0">
    <fb>45422</fb>
    <v>0</v>
  </rv>
  <rv s="0">
    <fb>45425</fb>
    <v>0</v>
  </rv>
  <rv s="0">
    <fb>45426</fb>
    <v>0</v>
  </rv>
  <rv s="0">
    <fb>45427</fb>
    <v>0</v>
  </rv>
  <rv s="0">
    <fb>45428</fb>
    <v>0</v>
  </rv>
  <rv s="0">
    <fb>45429</fb>
    <v>0</v>
  </rv>
  <rv s="0">
    <fb>45432</fb>
    <v>0</v>
  </rv>
  <rv s="0">
    <fb>45433</fb>
    <v>0</v>
  </rv>
  <rv s="0">
    <fb>45434</fb>
    <v>0</v>
  </rv>
  <rv s="0">
    <fb>45435</fb>
    <v>0</v>
  </rv>
  <rv s="0">
    <fb>45436</fb>
    <v>0</v>
  </rv>
  <rv s="0">
    <fb>45439</fb>
    <v>0</v>
  </rv>
  <rv s="0">
    <fb>45440</fb>
    <v>0</v>
  </rv>
  <rv s="0">
    <fb>45441</fb>
    <v>0</v>
  </rv>
  <rv s="0">
    <fb>45442</fb>
    <v>0</v>
  </rv>
  <rv s="0">
    <fb>45443</fb>
    <v>0</v>
  </rv>
  <rv s="0">
    <fb>45446</fb>
    <v>0</v>
  </rv>
  <rv s="0">
    <fb>45447</fb>
    <v>0</v>
  </rv>
  <rv s="0">
    <fb>45448</fb>
    <v>0</v>
  </rv>
  <rv s="0">
    <fb>45449</fb>
    <v>0</v>
  </rv>
  <rv s="0">
    <fb>45450</fb>
    <v>0</v>
  </rv>
  <rv s="0">
    <fb>45453</fb>
    <v>0</v>
  </rv>
  <rv s="0">
    <fb>45454</fb>
    <v>0</v>
  </rv>
  <rv s="0">
    <fb>45455</fb>
    <v>0</v>
  </rv>
  <rv s="0">
    <fb>45456</fb>
    <v>0</v>
  </rv>
  <rv s="0">
    <fb>45457</fb>
    <v>0</v>
  </rv>
  <rv s="0">
    <fb>45460</fb>
    <v>0</v>
  </rv>
  <rv s="0">
    <fb>45461</fb>
    <v>0</v>
  </rv>
  <rv s="0">
    <fb>45462</fb>
    <v>0</v>
  </rv>
  <rv s="0">
    <fb>45463</fb>
    <v>0</v>
  </rv>
  <rv s="0">
    <fb>45464</fb>
    <v>0</v>
  </rv>
  <rv s="0">
    <fb>45467</fb>
    <v>0</v>
  </rv>
  <rv s="0">
    <fb>45468</fb>
    <v>0</v>
  </rv>
  <rv s="0">
    <fb>45469</fb>
    <v>0</v>
  </rv>
  <rv s="0">
    <fb>45470</fb>
    <v>0</v>
  </rv>
  <rv s="0">
    <fb>45471</fb>
    <v>0</v>
  </rv>
  <rv s="0">
    <fb>45474</fb>
    <v>0</v>
  </rv>
  <rv s="0">
    <fb>45475</fb>
    <v>0</v>
  </rv>
  <rv s="0">
    <fb>45476</fb>
    <v>0</v>
  </rv>
  <rv s="0">
    <fb>45477</fb>
    <v>0</v>
  </rv>
  <rv s="0">
    <fb>45478</fb>
    <v>0</v>
  </rv>
  <rv s="0">
    <fb>45481</fb>
    <v>0</v>
  </rv>
  <rv s="0">
    <fb>45482</fb>
    <v>0</v>
  </rv>
  <rv s="0">
    <fb>45483</fb>
    <v>0</v>
  </rv>
  <rv s="0">
    <fb>45484</fb>
    <v>0</v>
  </rv>
  <rv s="0">
    <fb>45485</fb>
    <v>0</v>
  </rv>
  <rv s="0">
    <fb>45488</fb>
    <v>0</v>
  </rv>
  <rv s="0">
    <fb>45489</fb>
    <v>0</v>
  </rv>
  <rv s="0">
    <fb>45490</fb>
    <v>0</v>
  </rv>
  <rv s="0">
    <fb>45491</fb>
    <v>0</v>
  </rv>
  <rv s="0">
    <fb>45492</fb>
    <v>0</v>
  </rv>
  <rv s="0">
    <fb>45495</fb>
    <v>0</v>
  </rv>
  <rv s="0">
    <fb>45496</fb>
    <v>0</v>
  </rv>
  <rv s="0">
    <fb>45497</fb>
    <v>0</v>
  </rv>
  <rv s="0">
    <fb>45498</fb>
    <v>0</v>
  </rv>
  <rv s="0">
    <fb>149.37</fb>
    <v>1</v>
  </rv>
  <rv s="0">
    <fb>45268</fb>
    <v>0</v>
  </rv>
  <rv s="0">
    <fb>144.93</fb>
    <v>1</v>
  </rv>
  <rv s="0">
    <fb>148.03</fb>
    <v>1</v>
  </rv>
  <rv s="0">
    <fb>45271</fb>
    <v>0</v>
  </rv>
  <rv s="0">
    <fb>146.16</fb>
    <v>1</v>
  </rv>
  <rv s="0">
    <fb>147.07</fb>
    <v>1</v>
  </rv>
  <rv s="0">
    <fb>45272</fb>
    <v>0</v>
  </rv>
  <rv s="0">
    <fb>145.43</fb>
    <v>1</v>
  </rv>
  <rv s="0">
    <fb>146.94</fb>
    <v>1</v>
  </rv>
  <rv s="0">
    <fb>142.88</fb>
    <v>1</v>
  </rv>
  <rv s="0">
    <fb>147.68</fb>
    <v>1</v>
  </rv>
  <rv s="0">
    <fb>141.87</fb>
    <v>1</v>
  </rv>
  <rv s="0">
    <fb>147.74</fb>
    <v>1</v>
  </rv>
  <rv s="0">
    <fb>142.15</fb>
    <v>1</v>
  </rv>
  <rv s="0">
    <fb>148.32</fb>
    <v>1</v>
  </rv>
  <rv s="0">
    <fb>142.74</fb>
    <v>1</v>
  </rv>
  <rv s="0">
    <fb>149.02000000000001</fb>
    <v>1</v>
  </rv>
  <rv s="0">
    <fb>143.82</fb>
    <v>1</v>
  </rv>
  <rv s="0">
    <fb>149.13999999999999</fb>
    <v>1</v>
  </rv>
  <rv s="0">
    <fb>143.56</fb>
    <v>1</v>
  </rv>
  <rv s="0">
    <fb>150.85</fb>
    <v>1</v>
  </rv>
  <rv s="0">
    <fb>142.1</fb>
    <v>1</v>
  </rv>
  <rv s="0">
    <fb>151.25</fb>
    <v>1</v>
  </rv>
  <rv s="0">
    <fb>142.41</fb>
    <v>1</v>
  </rv>
  <rv s="0">
    <fb>151.61000000000001</fb>
    <v>1</v>
  </rv>
  <rv s="0">
    <fb>142.34</fb>
    <v>1</v>
  </rv>
  <rv s="0">
    <fb>151.41999999999999</fb>
    <v>1</v>
  </rv>
  <rv s="0">
    <fb>142.38</fb>
    <v>1</v>
  </rv>
  <rv s="0">
    <fb>151.41</fb>
    <v>1</v>
  </rv>
  <rv s="0">
    <fb>141.83000000000001</fb>
    <v>1</v>
  </rv>
  <rv s="0">
    <fb>151.55000000000001</fb>
    <v>1</v>
  </rv>
  <rv s="0">
    <fb>141.38999999999999</fb>
    <v>1</v>
  </rv>
  <rv s="0">
    <fb>151.32</fb>
    <v>1</v>
  </rv>
  <rv s="0">
    <fb>141.06</fb>
    <v>1</v>
  </rv>
  <rv s="0">
    <fb>151.37</fb>
    <v>1</v>
  </rv>
  <rv s="0">
    <fb>140.87</fb>
    <v>1</v>
  </rv>
  <rv s="0">
    <fb>151.31</fb>
    <v>1</v>
  </rv>
  <rv s="0">
    <fb>141.97999999999999</fb>
    <v>1</v>
  </rv>
  <rv s="0">
    <fb>151.63</fb>
    <v>1</v>
  </rv>
  <rv s="0">
    <fb>143.29</fb>
    <v>1</v>
  </rv>
  <rv s="0">
    <fb>144.62</fb>
    <v>1</v>
  </rv>
  <rv s="0">
    <fb>151.68</fb>
    <v>1</v>
  </rv>
  <rv s="0">
    <fb>144.65</fb>
    <v>1</v>
  </rv>
  <rv s="0">
    <fb>151.33000000000001</fb>
    <v>1</v>
  </rv>
  <rv s="0">
    <fb>144.22</fb>
    <v>1</v>
  </rv>
  <rv s="0">
    <fb>144.47</fb>
    <v>1</v>
  </rv>
  <rv s="0">
    <fb>151.79</fb>
    <v>1</v>
  </rv>
  <rv s="0">
    <fb>145.72999999999999</fb>
    <v>1</v>
  </rv>
  <rv s="0">
    <fb>151.77000000000001</fb>
    <v>1</v>
  </rv>
  <rv s="0">
    <fb>145.28</fb>
    <v>1</v>
  </rv>
  <rv s="0">
    <fb>153.16999999999999</fb>
    <v>1</v>
  </rv>
  <rv s="0">
    <fb>144.9</fb>
    <v>1</v>
  </rv>
  <rv s="0">
    <fb>153.27000000000001</fb>
    <v>1</v>
  </rv>
  <rv s="0">
    <fb>153.28</fb>
    <v>1</v>
  </rv>
  <rv s="0">
    <fb>147.18</fb>
    <v>1</v>
  </rv>
  <rv s="0">
    <fb>154.27000000000001</fb>
    <v>1</v>
  </rv>
  <rv s="0">
    <fb>148.15</fb>
    <v>1</v>
  </rv>
  <rv s="0">
    <fb>154.71</fb>
    <v>1</v>
  </rv>
  <rv s="0">
    <fb>154.38</fb>
    <v>1</v>
  </rv>
  <rv s="0">
    <fb>148.13999999999999</fb>
    <v>1</v>
  </rv>
  <rv s="0">
    <fb>154.63</fb>
    <v>1</v>
  </rv>
  <rv s="0">
    <fb>148.09</fb>
    <v>1</v>
  </rv>
  <rv s="0">
    <fb>148.36000000000001</fb>
    <v>1</v>
  </rv>
  <rv s="0">
    <fb>154.84</fb>
    <v>1</v>
  </rv>
  <rv s="0">
    <fb>147.5</fb>
    <v>1</v>
  </rv>
  <rv s="0">
    <fb>154.82</fb>
    <v>1</v>
  </rv>
  <rv s="0">
    <fb>147.65</fb>
    <v>1</v>
  </rv>
  <rv s="0">
    <fb>155.34</fb>
    <v>1</v>
  </rv>
  <rv s="0">
    <fb>148.16</fb>
    <v>1</v>
  </rv>
  <rv s="0">
    <fb>155.65</fb>
    <v>1</v>
  </rv>
  <rv s="0">
    <fb>147.49</fb>
    <v>1</v>
  </rv>
  <rv s="0">
    <fb>158.33000000000001</fb>
    <v>1</v>
  </rv>
  <rv s="0">
    <fb>147.6</fb>
    <v>1</v>
  </rv>
  <rv s="0">
    <fb>156.33000000000001</fb>
    <v>1</v>
  </rv>
  <rv s="0">
    <fb>146.88</fb>
    <v>1</v>
  </rv>
  <rv s="0">
    <fb>157.80000000000001</fb>
    <v>1</v>
  </rv>
  <rv s="0">
    <fb>146.41999999999999</fb>
    <v>1</v>
  </rv>
  <rv s="0">
    <fb>154.47</fb>
    <v>1</v>
  </rv>
  <rv s="0">
    <fb>148.37</fb>
    <v>1</v>
  </rv>
  <rv s="0">
    <fb>153.63</fb>
    <v>1</v>
  </rv>
  <rv s="0">
    <fb>148.66999999999999</fb>
    <v>1</v>
  </rv>
  <rv s="0">
    <fb>152.97999999999999</fb>
    <v>1</v>
  </rv>
  <rv s="0">
    <fb>147.94</fb>
    <v>1</v>
  </rv>
  <rv s="0">
    <fb>153.88</fb>
    <v>1</v>
  </rv>
  <rv s="0">
    <fb>148.18</fb>
    <v>1</v>
  </rv>
  <rv s="0">
    <fb>154.69</fb>
    <v>1</v>
  </rv>
  <rv s="0">
    <fb>149.31</fb>
    <v>1</v>
  </rv>
  <rv s="0">
    <fb>155.47999999999999</fb>
    <v>1</v>
  </rv>
  <rv s="0">
    <fb>149.30000000000001</fb>
    <v>1</v>
  </rv>
  <rv s="0">
    <fb>155.46</fb>
    <v>1</v>
  </rv>
  <rv s="0">
    <fb>149.34</fb>
    <v>1</v>
  </rv>
  <rv s="0">
    <fb>155.72</fb>
    <v>1</v>
  </rv>
  <rv s="0">
    <fb>150.79</fb>
    <v>1</v>
  </rv>
  <rv s="0">
    <fb>156.19999999999999</fb>
    <v>1</v>
  </rv>
  <rv s="0">
    <fb>150.55000000000001</fb>
    <v>1</v>
  </rv>
  <rv s="0">
    <fb>156.41999999999999</fb>
    <v>1</v>
  </rv>
  <rv s="0">
    <fb>149.91</fb>
    <v>1</v>
  </rv>
  <rv s="0">
    <fb>154.87</fb>
    <v>1</v>
  </rv>
  <rv s="0">
    <fb>150.21</fb>
    <v>1</v>
  </rv>
  <rv s="0">
    <fb>155.38</fb>
    <v>1</v>
  </rv>
  <rv s="0">
    <fb>150.11000000000001</fb>
    <v>1</v>
  </rv>
  <rv s="0">
    <fb>149.99</fb>
    <v>1</v>
  </rv>
  <rv s="0">
    <fb>156.24</fb>
    <v>1</v>
  </rv>
  <rv s="0">
    <fb>150.28</fb>
    <v>1</v>
  </rv>
  <rv s="0">
    <fb>156.15</fb>
    <v>1</v>
  </rv>
  <rv s="0">
    <fb>150.51</fb>
    <v>1</v>
  </rv>
  <rv s="0">
    <fb>156.77000000000001</fb>
    <v>1</v>
  </rv>
  <rv s="0">
    <fb>150.5</fb>
    <v>1</v>
  </rv>
  <rv s="0">
    <fb>156.93</fb>
    <v>1</v>
  </rv>
  <rv s="0">
    <fb>150.69</fb>
    <v>1</v>
  </rv>
  <rv s="0">
    <fb>156.99</fb>
    <v>1</v>
  </rv>
  <rv s="0">
    <fb>156.86000000000001</fb>
    <v>1</v>
  </rv>
  <rv s="0">
    <fb>150.66999999999999</fb>
    <v>1</v>
  </rv>
  <rv s="0">
    <fb>157.16</fb>
    <v>1</v>
  </rv>
  <rv s="0">
    <fb>149.97999999999999</fb>
    <v>1</v>
  </rv>
  <rv s="0">
    <fb>157.6</fb>
    <v>1</v>
  </rv>
  <rv s="0">
    <fb>156.81</fb>
    <v>1</v>
  </rv>
  <rv s="0">
    <fb>157.31</fb>
    <v>1</v>
  </rv>
  <rv s="0">
    <fb>150.04</fb>
    <v>1</v>
  </rv>
  <rv s="0">
    <fb>156.1</fb>
    <v>1</v>
  </rv>
  <rv s="0">
    <fb>155.6</fb>
    <v>1</v>
  </rv>
  <rv s="0">
    <fb>156.69999999999999</fb>
    <v>1</v>
  </rv>
  <rv s="0">
    <fb>157.02000000000001</fb>
    <v>1</v>
  </rv>
  <rv s="0">
    <fb>157.07</fb>
    <v>1</v>
  </rv>
  <rv s="0">
    <fb>156.71</fb>
    <v>1</v>
  </rv>
  <rv s="0">
    <fb>157.37</fb>
    <v>1</v>
  </rv>
  <rv s="0">
    <fb>157.71</fb>
    <v>1</v>
  </rv>
  <rv s="0">
    <fb>157.85</fb>
    <v>1</v>
  </rv>
  <rv s="0">
    <fb>158.08000000000001</fb>
    <v>1</v>
  </rv>
  <rv s="0">
    <fb>158.9</fb>
    <v>1</v>
  </rv>
  <rv s="0">
    <fb>159.79</fb>
    <v>1</v>
  </rv>
  <rv s="0">
    <fb>159.59</fb>
    <v>1</v>
  </rv>
  <rv s="0">
    <fb>159.69</fb>
    <v>1</v>
  </rv>
  <rv s="0">
    <fb>160.79</fb>
    <v>1</v>
  </rv>
  <rv s="0">
    <fb>160.74</fb>
    <v>1</v>
  </rv>
  <rv s="0">
    <fb>160.83000000000001</fb>
    <v>1</v>
  </rv>
  <rv s="0">
    <fb>161.44999999999999</fb>
    <v>1</v>
  </rv>
  <rv s="0">
    <fb>161.44</fb>
    <v>1</v>
  </rv>
  <rv s="0">
    <fb>161.68</fb>
    <v>1</v>
  </rv>
  <rv s="0">
    <fb>161.25</fb>
    <v>1</v>
  </rv>
  <rv s="0">
    <fb>160.72</fb>
    <v>1</v>
  </rv>
  <rv s="0">
    <fb>160.81</fb>
    <v>1</v>
  </rv>
  <rv s="0">
    <fb>161.31</fb>
    <v>1</v>
  </rv>
  <rv s="0">
    <fb>161.66999999999999</fb>
    <v>1</v>
  </rv>
  <rv s="0">
    <fb>158.80000000000001</fb>
    <v>1</v>
  </rv>
  <rv s="0">
    <fb>157.88999999999999</fb>
    <v>1</v>
  </rv>
  <rv s="0">
    <fb>158.01</fb>
    <v>1</v>
  </rv>
  <rv s="0">
    <fb>158.34</fb>
    <v>1</v>
  </rv>
  <rv s="0">
    <fb>156.16</fb>
    <v>1</v>
  </rv>
  <rv s="0">
    <fb>157.49</fb>
    <v>1</v>
  </rv>
  <rv s="0">
    <fb>157</fb>
    <v>1</v>
  </rv>
  <rv s="0">
    <fb>155.58000000000001</fb>
    <v>1</v>
  </rv>
  <rv s="0">
    <fb>153.87</fb>
    <v>1</v>
  </rv>
  <rv s="0">
    <fb>153.93</fb>
    <v>1</v>
  </rv>
  <rv s="0">
    <fb>153.72</fb>
    <v>1</v>
  </rv>
  <rv s="0">
    <fb>154.01</fb>
    <v>1</v>
  </rv>
  <rv s="0">
    <fb>152.76</fb>
    <v>1</v>
  </rv>
  <rv s="0">
    <fb>149.36000000000001</fb>
    <v>1</v>
  </rv>
  <rv s="0">
    <fb>146.54</fb>
    <v>1</v>
  </rv>
  <rv s="0">
    <fb>144.16999999999999</fb>
    <v>1</v>
  </rv>
  <rv s="0">
    <fb>144.30000000000001</fb>
    <v>1</v>
  </rv>
  <rv s="0">
    <fb>146.69</fb>
    <v>1</v>
  </rv>
  <rv s="0">
    <fb>147.28</fb>
    <v>1</v>
  </rv>
  <rv s="0">
    <fb>146.61000000000001</fb>
    <v>1</v>
  </rv>
  <rv s="0">
    <fb>147.19</fb>
    <v>1</v>
  </rv>
  <rv s="0">
    <fb>146.82</fb>
    <v>1</v>
  </rv>
  <rv s="0">
    <fb>147.31</fb>
    <v>1</v>
  </rv>
  <rv s="0">
    <fb>149.27000000000001</fb>
    <v>1</v>
  </rv>
  <rv s="0">
    <fb>147.58000000000001</fb>
    <v>1</v>
  </rv>
  <rv s="0">
    <fb>146.57</fb>
    <v>1</v>
  </rv>
  <rv s="0">
    <fb>145.25</fb>
    <v>1</v>
  </rv>
  <rv s="0">
    <fb>145.26</fb>
    <v>1</v>
  </rv>
  <rv s="0">
    <fb>146.26</fb>
    <v>1</v>
  </rv>
  <rv s="0">
    <fb>144.37</fb>
    <v>1</v>
  </rv>
  <rv s="0">
    <fb>144.52000000000001</fb>
    <v>1</v>
  </rv>
  <rv s="0">
    <fb>143.94999999999999</fb>
    <v>1</v>
  </rv>
  <rv s="0">
    <fb>144.57</fb>
    <v>1</v>
  </rv>
  <rv s="0">
    <fb>144.97999999999999</fb>
    <v>1</v>
  </rv>
  <rv s="0">
    <fb>146.9</fb>
    <v>1</v>
  </rv>
  <rv s="0">
    <fb>145.47</fb>
    <v>1</v>
  </rv>
  <rv s="0">
    <fb>143.72999999999999</fb>
    <v>1</v>
  </rv>
  <rv s="0">
    <fb>143.44</fb>
    <v>1</v>
  </rv>
  <rv s="0">
    <fb>142.27000000000001</fb>
    <v>1</v>
  </rv>
  <rv s="0">
    <fb>143.16999999999999</fb>
    <v>1</v>
  </rv>
  <rv s="0">
    <fb>142.43</fb>
    <v>1</v>
  </rv>
  <rv s="0">
    <fb>142.35</fb>
    <v>1</v>
  </rv>
  <rv s="0">
    <fb>141.79</fb>
    <v>1</v>
  </rv>
  <rv s="0">
    <fb>140.82</fb>
    <v>1</v>
  </rv>
  <rv s="0">
    <fb>140.6</fb>
    <v>1</v>
  </rv>
  <rv s="0">
    <fb>142.4</fb>
    <v>1</v>
  </rv>
  <rv s="0">
    <fb>142.62</fb>
    <v>1</v>
  </rv>
  <rv s="0">
    <fb>143.91</fb>
    <v>1</v>
  </rv>
  <rv s="0">
    <fb>143.6</fb>
    <v>1</v>
  </rv>
  <rv s="0">
    <fb>143.21</fb>
    <v>1</v>
  </rv>
  <rv s="0">
    <fb>144.75</fb>
    <v>1</v>
  </rv>
  <rv s="0">
    <fb>144.80000000000001</fb>
    <v>1</v>
  </rv>
  <rv s="0">
    <fb>142.19</fb>
    <v>1</v>
  </rv>
  <rv s="0">
    <fb>143.62</fb>
    <v>1</v>
  </rv>
  <rv s="0">
    <fb>146.46</fb>
    <v>1</v>
  </rv>
  <rv s="0">
    <fb>146.91999999999999</fb>
    <v>1</v>
  </rv>
  <rv s="0">
    <fb>148.71</fb>
    <v>1</v>
  </rv>
  <rv s="0">
    <fb>148.19</fb>
    <v>1</v>
  </rv>
  <rv s="0">
    <fb>149.29</fb>
    <v>1</v>
  </rv>
  <rv s="0">
    <fb>148.56</fb>
    <v>1</v>
  </rv>
  <rv s="0">
    <fb>149.13</fb>
    <v>1</v>
  </rv>
  <rv s="0">
    <fb>149.75</fb>
    <v>1</v>
  </rv>
  <rv s="0">
    <fb>149.19</fb>
    <v>1</v>
  </rv>
  <rv s="0">
    <fb>149.62</fb>
    <v>1</v>
  </rv>
  <rv s="0">
    <fb>150.19999999999999</fb>
    <v>1</v>
  </rv>
  <rv s="0">
    <fb>149.52000000000001</fb>
    <v>1</v>
  </rv>
  <rv s="0">
    <fb>150.83000000000001</fb>
    <v>1</v>
  </rv>
  <rv s="0">
    <fb>151.06</fb>
    <v>1</v>
  </rv>
  <rv s="0">
    <fb>152.75</fb>
    <v>1</v>
  </rv>
  <rv s="0">
    <fb>151.82</fb>
    <v>1</v>
  </rv>
  <rv s="0">
    <fb>152.30000000000001</fb>
    <v>1</v>
  </rv>
  <rv s="0">
    <fb>153.35</fb>
    <v>1</v>
  </rv>
  <rv s="0">
    <fb>153.41</fb>
    <v>1</v>
  </rv>
  <rv s="0">
    <fb>152.03</fb>
    <v>1</v>
  </rv>
  <rv s="0">
    <fb>152.13</fb>
    <v>1</v>
  </rv>
  <rv s="0">
    <fb>151.6</fb>
    <v>1</v>
  </rv>
  <rv s="0">
    <fb>152.93</fb>
    <v>1</v>
  </rv>
  <rv s="0">
    <fb>152.63</fb>
    <v>1</v>
  </rv>
  <rv s="0">
    <fb>153.71</fb>
    <v>1</v>
  </rv>
  <rv s="0">
    <fb>154.6</fb>
    <v>1</v>
  </rv>
  <rv s="0">
    <fb>155.44999999999999</fb>
    <v>1</v>
  </rv>
  <rv s="0">
    <fb>156.25</fb>
    <v>1</v>
  </rv>
  <rv s="0">
    <fb>154.34</fb>
    <v>1</v>
  </rv>
  <rv s="0">
    <fb>154.65</fb>
    <v>1</v>
  </rv>
  <rv s="0">
    <fb>155.43</fb>
    <v>1</v>
  </rv>
  <rv s="0">
    <fb>154.51</fb>
    <v>1</v>
  </rv>
  <rv s="0">
    <fb>154.74</fb>
    <v>1</v>
  </rv>
  <rv s="0">
    <fb>154.21</fb>
    <v>1</v>
  </rv>
  <rv s="0">
    <fb>153.1</fb>
    <v>1</v>
  </rv>
  <rv s="0">
    <fb>151.1</fb>
    <v>1</v>
  </rv>
  <rv s="0">
    <fb>151.54</fb>
    <v>1</v>
  </rv>
  <rv s="0">
    <fb>45625</fb>
    <v>0</v>
  </rv>
  <rv s="0">
    <fb>45628</fb>
    <v>0</v>
  </rv>
  <rv s="0">
    <fb>149.59</fb>
    <v>1</v>
  </rv>
  <rv s="0">
    <fb>45629</fb>
    <v>0</v>
  </rv>
  <rv s="0">
    <fb>45630</fb>
    <v>0</v>
  </rv>
  <rv s="0">
    <fb>150.6</fb>
    <v>1</v>
  </rv>
  <rv s="0">
    <fb>45631</fb>
    <v>0</v>
  </rv>
  <rv s="0">
    <fb>150.08000000000001</fb>
    <v>1</v>
  </rv>
  <rv s="0">
    <fb>45632</fb>
    <v>0</v>
  </rv>
  <rv s="0">
    <fb>150.03</fb>
    <v>1</v>
  </rv>
  <rv s="0">
    <fb>45635</fb>
    <v>0</v>
  </rv>
  <rv s="0">
    <fb>151.19</fb>
    <v>1</v>
  </rv>
  <rv s="0">
    <fb>45636</fb>
    <v>0</v>
  </rv>
  <rv s="0">
    <fb>151.94999999999999</fb>
    <v>1</v>
  </rv>
  <rv s="0">
    <fb>45637</fb>
    <v>0</v>
  </rv>
  <rv s="0">
    <fb>152.44999999999999</fb>
    <v>1</v>
  </rv>
  <rv s="0">
    <fb>45638</fb>
    <v>0</v>
  </rv>
  <rv s="0">
    <fb>152.62</fb>
    <v>1</v>
  </rv>
  <rv s="0">
    <fb>45639</fb>
    <v>0</v>
  </rv>
  <rv s="0">
    <fb>153.63999999999999</fb>
    <v>1</v>
  </rv>
  <rv s="0">
    <fb>45642</fb>
    <v>0</v>
  </rv>
  <rv s="0">
    <fb>154.15</fb>
    <v>1</v>
  </rv>
  <rv s="0">
    <fb>45643</fb>
    <v>0</v>
  </rv>
  <rv s="0">
    <fb>153.47999999999999</fb>
    <v>1</v>
  </rv>
  <rv s="0">
    <fb>45644</fb>
    <v>0</v>
  </rv>
  <rv s="0">
    <fb>154.80000000000001</fb>
    <v>1</v>
  </rv>
  <rv s="0">
    <fb>45645</fb>
    <v>0</v>
  </rv>
  <rv s="0">
    <fb>157.43</fb>
    <v>1</v>
  </rv>
  <rv s="0">
    <fb>45646</fb>
    <v>0</v>
  </rv>
  <rv s="0">
    <fb>156.41</fb>
    <v>1</v>
  </rv>
  <rv s="0">
    <fb>45649</fb>
    <v>0</v>
  </rv>
  <rv s="0">
    <fb>45650</fb>
    <v>0</v>
  </rv>
  <rv s="0">
    <fb>157.18</fb>
    <v>1</v>
  </rv>
  <rv s="0">
    <fb>45651</fb>
    <v>0</v>
  </rv>
  <rv s="0">
    <fb>157.4</fb>
    <v>1</v>
  </rv>
  <rv s="0">
    <fb>45652</fb>
    <v>0</v>
  </rv>
  <rv s="0">
    <fb>158</fb>
    <v>1</v>
  </rv>
  <rv s="0">
    <fb>45653</fb>
    <v>0</v>
  </rv>
  <rv s="0">
    <fb>157.82</fb>
    <v>1</v>
  </rv>
  <rv s="0">
    <fb>45656</fb>
    <v>0</v>
  </rv>
  <rv s="0">
    <fb>156.83000000000001</fb>
    <v>1</v>
  </rv>
  <rv s="0">
    <fb>45657</fb>
    <v>0</v>
  </rv>
  <rv s="0">
    <fb>45658</fb>
    <v>0</v>
  </rv>
  <rv s="0">
    <fb>156.87</fb>
    <v>1</v>
  </rv>
  <rv s="0">
    <fb>45659</fb>
    <v>0</v>
  </rv>
  <rv s="0">
    <fb>157.52000000000001</fb>
    <v>1</v>
  </rv>
  <rv s="0">
    <fb>45660</fb>
    <v>0</v>
  </rv>
  <rv s="0">
    <fb>157.27000000000001</fb>
    <v>1</v>
  </rv>
  <rv s="0">
    <fb>45663</fb>
    <v>0</v>
  </rv>
  <rv s="0">
    <fb>45664</fb>
    <v>0</v>
  </rv>
  <rv s="0">
    <fb>158.02000000000001</fb>
    <v>1</v>
  </rv>
  <rv s="0">
    <fb>45665</fb>
    <v>0</v>
  </rv>
  <rv s="0">
    <fb>158.35</fb>
    <v>1</v>
  </rv>
  <rv s="0">
    <fb>45666</fb>
    <v>0</v>
  </rv>
  <rv s="0">
    <fb>158.13999999999999</fb>
    <v>1</v>
  </rv>
  <rv s="0">
    <fb>45667</fb>
    <v>0</v>
  </rv>
  <rv s="0">
    <fb>157.69</fb>
    <v>1</v>
  </rv>
  <rv s="0">
    <fb>45670</fb>
    <v>0</v>
  </rv>
  <rv s="0">
    <fb>157.47</fb>
    <v>1</v>
  </rv>
  <rv s="0">
    <fb>45671</fb>
    <v>0</v>
  </rv>
  <rv s="0">
    <fb>157.96</fb>
    <v>1</v>
  </rv>
  <rv s="0">
    <fb>45672</fb>
    <v>0</v>
  </rv>
  <rv s="0">
    <fb>156.47</fb>
    <v>1</v>
  </rv>
  <rv s="0">
    <fb>45673</fb>
    <v>0</v>
  </rv>
  <rv s="0">
    <fb>155.12</fb>
    <v>1</v>
  </rv>
  <rv s="0">
    <fb>45674</fb>
    <v>0</v>
  </rv>
  <rv s="0">
    <fb>156.30000000000001</fb>
    <v>1</v>
  </rv>
  <rv s="0">
    <fb>45677</fb>
    <v>0</v>
  </rv>
  <rv s="0">
    <fb>155.59</fb>
    <v>1</v>
  </rv>
  <rv s="0">
    <fb>45678</fb>
    <v>0</v>
  </rv>
  <rv s="0">
    <fb>155.5</fb>
    <v>1</v>
  </rv>
  <rv s="0">
    <fb>45679</fb>
    <v>0</v>
  </rv>
  <rv s="0">
    <fb>156.53</fb>
    <v>1</v>
  </rv>
  <rv s="0">
    <fb>45680</fb>
    <v>0</v>
  </rv>
  <rv s="0">
    <fb>156.05000000000001</fb>
    <v>1</v>
  </rv>
  <rv s="0">
    <fb>45681</fb>
    <v>0</v>
  </rv>
  <rv s="0">
    <fb>155.97999999999999</fb>
    <v>1</v>
  </rv>
  <rv s="0">
    <fb>45684</fb>
    <v>0</v>
  </rv>
  <rv s="0">
    <fb>154.49</fb>
    <v>1</v>
  </rv>
  <rv s="0">
    <fb>45685</fb>
    <v>0</v>
  </rv>
  <rv s="0">
    <fb>155.52000000000001</fb>
    <v>1</v>
  </rv>
  <rv s="0">
    <fb>45686</fb>
    <v>0</v>
  </rv>
  <rv s="0">
    <fb>155.19999999999999</fb>
    <v>1</v>
  </rv>
  <rv s="0">
    <fb>45687</fb>
    <v>0</v>
  </rv>
  <rv s="0">
    <fb>154.30000000000001</fb>
    <v>1</v>
  </rv>
  <rv s="0">
    <fb>45688</fb>
    <v>0</v>
  </rv>
  <rv s="0">
    <fb>155.18</fb>
    <v>1</v>
  </rv>
  <rv s="0">
    <fb>45691</fb>
    <v>0</v>
  </rv>
  <rv s="0">
    <fb>154.75</fb>
    <v>1</v>
  </rv>
  <rv s="0">
    <fb>45692</fb>
    <v>0</v>
  </rv>
  <rv s="0">
    <fb>154.33000000000001</fb>
    <v>1</v>
  </rv>
  <rv s="0">
    <fb>45693</fb>
    <v>0</v>
  </rv>
  <rv s="0">
    <fb>152.6</fb>
    <v>1</v>
  </rv>
  <rv s="0">
    <fb>45694</fb>
    <v>0</v>
  </rv>
  <rv s="0">
    <fb>151.44</fb>
    <v>1</v>
  </rv>
  <rv s="0">
    <fb>45695</fb>
    <v>0</v>
  </rv>
  <rv s="0">
    <fb>151.4</fb>
    <v>1</v>
  </rv>
  <rv s="0">
    <fb>45698</fb>
    <v>0</v>
  </rv>
  <rv s="0">
    <fb>151.99</fb>
    <v>1</v>
  </rv>
  <rv s="0">
    <fb>45699</fb>
    <v>0</v>
  </rv>
  <rv s="0">
    <fb>152.47999999999999</fb>
    <v>1</v>
  </rv>
  <rv s="0">
    <fb>45700</fb>
    <v>0</v>
  </rv>
  <rv s="0">
    <fb>154.41</fb>
    <v>1</v>
  </rv>
  <rv s="0">
    <fb>45701</fb>
    <v>0</v>
  </rv>
  <rv s="0">
    <fb>152.79</fb>
    <v>1</v>
  </rv>
  <rv s="0">
    <fb>45702</fb>
    <v>0</v>
  </rv>
  <rv s="0">
    <fb>152.33000000000001</fb>
    <v>1</v>
  </rv>
  <rv s="0">
    <fb>45705</fb>
    <v>0</v>
  </rv>
  <rv s="0">
    <fb>151.5</fb>
    <v>1</v>
  </rv>
  <rv s="0">
    <fb>45706</fb>
    <v>0</v>
  </rv>
  <rv s="0">
    <fb>152.05000000000001</fb>
    <v>1</v>
  </rv>
  <rv s="0">
    <fb>45707</fb>
    <v>0</v>
  </rv>
  <rv s="0">
    <fb>151.47</fb>
    <v>1</v>
  </rv>
  <rv s="0">
    <fb>45708</fb>
    <v>0</v>
  </rv>
  <rv s="0">
    <fb>149.63</fb>
    <v>1</v>
  </rv>
  <rv s="0">
    <fb>45709</fb>
    <v>0</v>
  </rv>
  <rv s="0">
    <fb>45712</fb>
    <v>0</v>
  </rv>
  <rv s="0">
    <fb>149.71</fb>
    <v>1</v>
  </rv>
  <rv s="0">
    <fb>1.0896999999999999</fb>
    <v>2</v>
  </rv>
  <rv s="0">
    <fb>1.0761000000000001</fb>
    <v>2</v>
  </rv>
  <rv s="0">
    <fb>1.0946</fb>
    <v>2</v>
  </rv>
  <rv s="0">
    <fb>1.0936999999999999</fb>
    <v>2</v>
  </rv>
  <rv s="0">
    <fb>1.0791999999999999</fb>
    <v>2</v>
  </rv>
  <rv s="0">
    <fb>1.0926</fb>
    <v>2</v>
  </rv>
  <rv s="0">
    <fb>1.0872999999999999</fb>
    <v>2</v>
  </rv>
  <rv s="0">
    <fb>1.0924</fb>
    <v>2</v>
  </rv>
  <rv s="0">
    <fb>1.0991</fb>
    <v>2</v>
  </rv>
  <rv s="0">
    <fb>1.0893999999999999</fb>
    <v>2</v>
  </rv>
  <rv s="0">
    <fb>1.0881000000000001</fb>
    <v>2</v>
  </rv>
  <rv s="0">
    <fb>1.0922000000000001</fb>
    <v>2</v>
  </rv>
  <rv s="0">
    <fb>1.0887</fb>
    <v>2</v>
  </rv>
  <rv s="0">
    <fb>1.0980000000000001</fb>
    <v>2</v>
  </rv>
  <rv s="0">
    <fb>1.0871</fb>
    <v>2</v>
  </rv>
  <rv s="0">
    <fb>1.0938000000000001</fb>
    <v>2</v>
  </rv>
  <rv s="0">
    <fb>1.0865</fb>
    <v>2</v>
  </rv>
  <rv s="0">
    <fb>1.1008</fb>
    <v>2</v>
  </rv>
  <rv s="0">
    <fb>1.0918000000000001</fb>
    <v>2</v>
  </rv>
  <rv s="0">
    <fb>1.101</fb>
    <v>2</v>
  </rv>
  <rv s="0">
    <fb>1.0860000000000001</fb>
    <v>2</v>
  </rv>
  <rv s="0">
    <fb>1.1007</fb>
    <v>2</v>
  </rv>
  <rv s="0">
    <fb>1.0805</fb>
    <v>2</v>
  </rv>
  <rv s="0">
    <fb>1.1042000000000001</fb>
    <v>2</v>
  </rv>
  <rv s="0">
    <fb>1.0835999999999999</fb>
    <v>2</v>
  </rv>
  <rv s="0">
    <fb>1.1103000000000001</fb>
    <v>2</v>
  </rv>
  <rv s="0">
    <fb>1.083</fb>
    <v>2</v>
  </rv>
  <rv s="0">
    <fb>1.1059000000000001</fb>
    <v>2</v>
  </rv>
  <rv s="0">
    <fb>1.0826</fb>
    <v>2</v>
  </rv>
  <rv s="0">
    <fb>1.1035999999999999</fb>
    <v>2</v>
  </rv>
  <rv s="0">
    <fb>1.0787</fb>
    <v>2</v>
  </rv>
  <rv s="0">
    <fb>1.1044</fb>
    <v>2</v>
  </rv>
  <rv s="0">
    <fb>1.0792999999999999</fb>
    <v>2</v>
  </rv>
  <rv s="0">
    <fb>1.0947</fb>
    <v>2</v>
  </rv>
  <rv s="0">
    <fb>1.0743</fb>
    <v>2</v>
  </rv>
  <rv s="0">
    <fb>1.0921000000000001</fb>
    <v>2</v>
  </rv>
  <rv s="0">
    <fb>1.0768</fb>
    <v>2</v>
  </rv>
  <rv s="0">
    <fb>1.0943000000000001</fb>
    <v>2</v>
  </rv>
  <rv s="0">
    <fb>1.0834999999999999</fb>
    <v>2</v>
  </rv>
  <rv s="0">
    <fb>1.0941000000000001</fb>
    <v>2</v>
  </rv>
  <rv s="0">
    <fb>1.0949</fb>
    <v>2</v>
  </rv>
  <rv s="0">
    <fb>1.0931</fb>
    <v>2</v>
  </rv>
  <rv s="0">
    <fb>1.0858000000000001</fb>
    <v>2</v>
  </rv>
  <rv s="0">
    <fb>1.0971</fb>
    <v>2</v>
  </rv>
  <rv s="0">
    <fb>1.0854999999999999</fb>
    <v>2</v>
  </rv>
  <rv s="0">
    <fb>1.097</fb>
    <v>2</v>
  </rv>
  <rv s="0">
    <fb>1.0742</fb>
    <v>2</v>
  </rv>
  <rv s="0">
    <fb>1.0724</fb>
    <v>2</v>
  </rv>
  <rv s="0">
    <fb>1.0948</fb>
    <v>2</v>
  </rv>
  <rv s="0">
    <fb>1.0642</fb>
    <v>2</v>
  </rv>
  <rv s="0">
    <fb>1.0873999999999999</fb>
    <v>2</v>
  </rv>
  <rv s="0">
    <fb>1.0622</fb>
    <v>2</v>
  </rv>
  <rv s="0">
    <fb>1.0617000000000001</fb>
    <v>2</v>
  </rv>
  <rv s="0">
    <fb>1.0670999999999999</fb>
    <v>2</v>
  </rv>
  <rv s="0">
    <fb>1.0643</fb>
    <v>2</v>
  </rv>
  <rv s="0">
    <fb>1.0653999999999999</fb>
    <v>2</v>
  </rv>
  <rv s="0">
    <fb>1.0851</fb>
    <v>2</v>
  </rv>
  <rv s="0">
    <fb>1.0883</fb>
    <v>2</v>
  </rv>
  <rv s="0">
    <fb>1.0699000000000001</fb>
    <v>2</v>
  </rv>
  <rv s="0">
    <fb>1.0846</fb>
    <v>2</v>
  </rv>
  <rv s="0">
    <fb>1.0697000000000001</fb>
    <v>2</v>
  </rv>
  <rv s="0">
    <fb>1.0851999999999999</fb>
    <v>2</v>
  </rv>
  <rv s="0">
    <fb>1.0729</fb>
    <v>2</v>
  </rv>
  <rv s="0">
    <fb>1.0832999999999999</fb>
    <v>2</v>
  </rv>
  <rv s="0">
    <fb>1.0691999999999999</fb>
    <v>2</v>
  </rv>
  <rv s="0">
    <fb>1.0840000000000001</fb>
    <v>2</v>
  </rv>
  <rv s="0">
    <fb>1.0719000000000001</fb>
    <v>2</v>
  </rv>
  <rv s="0">
    <fb>1.0815999999999999</fb>
    <v>2</v>
  </rv>
  <rv s="0">
    <fb>1.0665</fb>
    <v>2</v>
  </rv>
  <rv s="0">
    <fb>1.0871999999999999</fb>
    <v>2</v>
  </rv>
  <rv s="0">
    <fb>1.0709</fb>
    <v>2</v>
  </rv>
  <rv s="0">
    <fb>1.0784</fb>
    <v>2</v>
  </rv>
  <rv s="0">
    <fb>1.0725</fb>
    <v>2</v>
  </rv>
  <rv s="0">
    <fb>1.0741000000000001</fb>
    <v>2</v>
  </rv>
  <rv s="0">
    <fb>1.0758000000000001</fb>
    <v>2</v>
  </rv>
  <rv s="0">
    <fb>1.0753999999999999</fb>
    <v>2</v>
  </rv>
  <rv s="0">
    <fb>1.0770999999999999</fb>
    <v>2</v>
  </rv>
  <rv s="0">
    <fb>1.0751999999999999</fb>
    <v>2</v>
  </rv>
  <rv s="0">
    <fb>1.0775999999999999</fb>
    <v>2</v>
  </rv>
  <rv s="0">
    <fb>1.0745</fb>
    <v>2</v>
  </rv>
  <rv s="0">
    <fb>1.0782</fb>
    <v>2</v>
  </rv>
  <rv s="0">
    <fb>1.0781000000000001</fb>
    <v>2</v>
  </rv>
  <rv s="0">
    <fb>1.0769</fb>
    <v>2</v>
  </rv>
  <rv s="0">
    <fb>1.0788</fb>
    <v>2</v>
  </rv>
  <rv s="0">
    <fb>1.0818000000000001</fb>
    <v>2</v>
  </rv>
  <rv s="0">
    <fb>1.0882000000000001</fb>
    <v>2</v>
  </rv>
  <rv s="0">
    <fb>1.0773999999999999</fb>
    <v>2</v>
  </rv>
  <rv s="0">
    <fb>1.0777000000000001</fb>
    <v>2</v>
  </rv>
  <rv s="0">
    <fb>1.087</fb>
    <v>2</v>
  </rv>
  <rv s="0">
    <fb>1.0803</fb>
    <v>2</v>
  </rv>
  <rv s="0">
    <fb>1.0817000000000001</fb>
    <v>2</v>
  </rv>
  <rv s="0">
    <fb>1.0853999999999999</fb>
    <v>2</v>
  </rv>
  <rv s="0">
    <fb>1.0823</fb>
    <v>2</v>
  </rv>
  <rv s="0">
    <fb>1.0821000000000001</fb>
    <v>2</v>
  </rv>
  <rv s="0">
    <fb>1.0812999999999999</fb>
    <v>2</v>
  </rv>
  <rv s="0">
    <fb>1.0847</fb>
    <v>2</v>
  </rv>
  <rv s="0">
    <fb>1.0845</fb>
    <v>2</v>
  </rv>
  <rv s="0">
    <fb>1.0844</fb>
    <v>2</v>
  </rv>
  <rv s="0">
    <fb>1.08</fb>
    <v>2</v>
  </rv>
  <rv s="0">
    <fb>1.0837000000000001</fb>
    <v>2</v>
  </rv>
  <rv s="0">
    <fb>1.0831999999999999</fb>
    <v>2</v>
  </rv>
  <rv s="0">
    <fb>1.0841000000000001</fb>
    <v>2</v>
  </rv>
  <rv s="0">
    <fb>1.0902000000000001</fb>
    <v>2</v>
  </rv>
  <rv s="0">
    <fb>1.0878000000000001</fb>
    <v>2</v>
  </rv>
  <rv s="0">
    <fb>1.0868</fb>
    <v>2</v>
  </rv>
  <rv s="0">
    <fb>1.0888</fb>
    <v>2</v>
  </rv>
  <rv s="0">
    <fb>1.0763</fb>
    <v>2</v>
  </rv>
  <rv s="0">
    <fb>1.0739000000000001</fb>
    <v>2</v>
  </rv>
  <rv s="0">
    <fb>1.0807</fb>
    <v>2</v>
  </rv>
  <rv s="0">
    <fb>1.0734999999999999</fb>
    <v>2</v>
  </rv>
  <rv s="0">
    <fb>1.07</fb>
    <v>2</v>
  </rv>
  <rv s="0">
    <fb>1.0733999999999999</fb>
    <v>2</v>
  </rv>
  <rv s="0">
    <fb>1.0738000000000001</fb>
    <v>2</v>
  </rv>
  <rv s="0">
    <fb>1.0690999999999999</fb>
    <v>2</v>
  </rv>
  <rv s="0">
    <fb>1.0731999999999999</fb>
    <v>2</v>
  </rv>
  <rv s="0">
    <fb>1.0712999999999999</fb>
    <v>2</v>
  </rv>
  <rv s="0">
    <fb>1.0679000000000001</fb>
    <v>2</v>
  </rv>
  <rv s="0">
    <fb>1.0702</fb>
    <v>2</v>
  </rv>
  <rv s="0">
    <fb>1.0744</fb>
    <v>2</v>
  </rv>
  <rv s="0">
    <fb>1.0786</fb>
    <v>2</v>
  </rv>
  <rv s="0">
    <fb>1.081</fb>
    <v>2</v>
  </rv>
  <rv s="0">
    <fb>1.0822000000000001</fb>
    <v>2</v>
  </rv>
  <rv s="0">
    <fb>1.0811999999999999</fb>
    <v>2</v>
  </rv>
  <rv s="0">
    <fb>1.0906</fb>
    <v>2</v>
  </rv>
  <rv s="0">
    <fb>1.0895999999999999</fb>
    <v>2</v>
  </rv>
  <rv s="0">
    <fb>1.0876999999999999</fb>
    <v>2</v>
  </rv>
  <rv s="0">
    <fb>1.0889</fb>
    <v>2</v>
  </rv>
  <rv s="0">
    <fb>1.0839000000000001</fb>
    <v>2</v>
  </rv>
  <rv s="0">
    <fb>1.0857000000000001</fb>
    <v>2</v>
  </rv>
  <rv s="0">
    <fb>1.0819000000000001</fb>
    <v>2</v>
  </rv>
  <rv s="0">
    <fb>1.0814999999999999</fb>
    <v>2</v>
  </rv>
  <rv s="0">
    <fb>1.0825</fb>
    <v>2</v>
  </rv>
  <rv s="0">
    <fb>1.0790999999999999</fb>
    <v>2</v>
  </rv>
  <rv s="0">
    <fb>1.0908</fb>
    <v>2</v>
  </rv>
  <rv s="0">
    <fb>1.0952</fb>
    <v>2</v>
  </rv>
  <rv s="0">
    <fb>1.093</fb>
    <v>2</v>
  </rv>
  <rv s="0">
    <fb>1.0915999999999999</fb>
    <v>2</v>
  </rv>
  <rv s="0">
    <fb>1.0992</fb>
    <v>2</v>
  </rv>
  <rv s="0">
    <fb>1.1012</fb>
    <v>2</v>
  </rv>
  <rv s="0">
    <fb>1.1028</fb>
    <v>2</v>
  </rv>
  <rv s="0">
    <fb>1.1085</fb>
    <v>2</v>
  </rv>
  <rv s="0">
    <fb>1.113</fb>
    <v>2</v>
  </rv>
  <rv s="0">
    <fb>1.115</fb>
    <v>2</v>
  </rv>
  <rv s="0">
    <fb>1.1112</fb>
    <v>2</v>
  </rv>
  <rv s="0">
    <fb>1.119</fb>
    <v>2</v>
  </rv>
  <rv s="0">
    <fb>1.1161000000000001</fb>
    <v>2</v>
  </rv>
  <rv s="0">
    <fb>1.1184000000000001</fb>
    <v>2</v>
  </rv>
  <rv s="0">
    <fb>1.1120000000000001</fb>
    <v>2</v>
  </rv>
  <rv s="0">
    <fb>1.1076999999999999</fb>
    <v>2</v>
  </rv>
  <rv s="0">
    <fb>1.1047</fb>
    <v>2</v>
  </rv>
  <rv s="0">
    <fb>1.1071</fb>
    <v>2</v>
  </rv>
  <rv s="0">
    <fb>1.1043000000000001</fb>
    <v>2</v>
  </rv>
  <rv s="0">
    <fb>1.1082000000000001</fb>
    <v>2</v>
  </rv>
  <rv s="0">
    <fb>1.111</fb>
    <v>2</v>
  </rv>
  <rv s="0">
    <fb>1.1083000000000001</fb>
    <v>2</v>
  </rv>
  <rv s="0">
    <fb>1.1033999999999999</fb>
    <v>2</v>
  </rv>
  <rv s="0">
    <fb>1.1019000000000001</fb>
    <v>2</v>
  </rv>
  <rv s="0">
    <fb>1.1011</fb>
    <v>2</v>
  </rv>
  <rv s="0">
    <fb>1.1073999999999999</fb>
    <v>2</v>
  </rv>
  <rv s="0">
    <fb>1.1075999999999999</fb>
    <v>2</v>
  </rv>
  <rv s="0">
    <fb>1.1132</fb>
    <v>2</v>
  </rv>
  <rv s="0">
    <fb>1.1113</fb>
    <v>2</v>
  </rv>
  <rv s="0">
    <fb>1.1117999999999999</fb>
    <v>2</v>
  </rv>
  <rv s="0">
    <fb>1.1162000000000001</fb>
    <v>2</v>
  </rv>
  <rv s="0">
    <fb>1.1180000000000001</fb>
    <v>2</v>
  </rv>
  <rv s="0">
    <fb>1.1175999999999999</fb>
    <v>2</v>
  </rv>
  <rv s="0">
    <fb>1.1163000000000001</fb>
    <v>2</v>
  </rv>
  <rv s="0">
    <fb>1.1133999999999999</fb>
    <v>2</v>
  </rv>
  <rv s="0">
    <fb>1.1067</fb>
    <v>2</v>
  </rv>
  <rv s="0">
    <fb>1.1045</fb>
    <v>2</v>
  </rv>
  <rv s="0">
    <fb>1.1031</fb>
    <v>2</v>
  </rv>
  <rv s="0">
    <fb>1.0975999999999999</fb>
    <v>2</v>
  </rv>
  <rv s="0">
    <fb>1.0973999999999999</fb>
    <v>2</v>
  </rv>
  <rv s="0">
    <fb>1.0939000000000001</fb>
    <v>2</v>
  </rv>
  <rv s="0">
    <fb>1.0934999999999999</fb>
    <v>2</v>
  </rv>
  <rv s="0">
    <fb>1.0909</fb>
    <v>2</v>
  </rv>
  <rv s="0">
    <fb>1.089</fb>
    <v>2</v>
  </rv>
  <rv s="0">
    <fb>1.0861000000000001</fb>
    <v>2</v>
  </rv>
  <rv s="0">
    <fb>1.0831</fb>
    <v>2</v>
  </rv>
  <rv s="0">
    <fb>1.0866</fb>
    <v>2</v>
  </rv>
  <rv s="0">
    <fb>1.0797000000000001</fb>
    <v>2</v>
  </rv>
  <rv s="0">
    <fb>1.0827</fb>
    <v>2</v>
  </rv>
  <rv s="0">
    <fb>1.0833999999999999</fb>
    <v>2</v>
  </rv>
  <rv s="0">
    <fb>1.0728</fb>
    <v>2</v>
  </rv>
  <rv s="0">
    <fb>1.0804</fb>
    <v>2</v>
  </rv>
  <rv s="0">
    <fb>1.0718000000000001</fb>
    <v>2</v>
  </rv>
  <rv s="0">
    <fb>1.0623</fb>
    <v>2</v>
  </rv>
  <rv s="0">
    <fb>1.0563</fb>
    <v>2</v>
  </rv>
  <rv s="0">
    <fb>1.0529999999999999</fb>
    <v>2</v>
  </rv>
  <rv s="0">
    <fb>1.0541</fb>
    <v>2</v>
  </rv>
  <rv s="0">
    <fb>1.0599000000000001</fb>
    <v>2</v>
  </rv>
  <rv s="0">
    <fb>1.0595000000000001</fb>
    <v>2</v>
  </rv>
  <rv s="0">
    <fb>1.0543</fb>
    <v>2</v>
  </rv>
  <rv s="0">
    <fb>1.0472999999999999</fb>
    <v>2</v>
  </rv>
  <rv s="0">
    <fb>1.0417000000000001</fb>
    <v>2</v>
  </rv>
  <rv s="0">
    <fb>1.0494000000000001</fb>
    <v>2</v>
  </rv>
  <rv s="0">
    <fb>1.0486</fb>
    <v>2</v>
  </rv>
  <rv s="0">
    <fb>1.0564</fb>
    <v>2</v>
  </rv>
  <rv s="0">
    <fb>1.0552999999999999</fb>
    <v>2</v>
  </rv>
  <rv s="0">
    <fb>1.0575000000000001</fb>
    <v>2</v>
  </rv>
  <rv s="0">
    <fb>1.0497000000000001</fb>
    <v>2</v>
  </rv>
  <rv s="0">
    <fb>1.0508999999999999</fb>
    <v>2</v>
  </rv>
  <rv s="0">
    <fb>1.0509999999999999</fb>
    <v>2</v>
  </rv>
  <rv s="0">
    <fb>1.0586</fb>
    <v>2</v>
  </rv>
  <rv s="0">
    <fb>1.0568</fb>
    <v>2</v>
  </rv>
  <rv s="0">
    <fb>1.0551999999999999</fb>
    <v>2</v>
  </rv>
  <rv s="0">
    <fb>1.0526</fb>
    <v>2</v>
  </rv>
  <rv s="0">
    <fb>1.0467</fb>
    <v>2</v>
  </rv>
  <rv s="0">
    <fb>1.0502</fb>
    <v>2</v>
  </rv>
  <rv s="0">
    <fb>1.0488999999999999</fb>
    <v>2</v>
  </rv>
  <rv s="0">
    <fb>1.0351999999999999</fb>
    <v>2</v>
  </rv>
  <rv s="0">
    <fb>1.0362</fb>
    <v>2</v>
  </rv>
  <rv s="0">
    <fb>1.0428999999999999</fb>
    <v>2</v>
  </rv>
  <rv s="0">
    <fb>1.0405</fb>
    <v>2</v>
  </rv>
  <rv s="0">
    <fb>1.0397000000000001</fb>
    <v>2</v>
  </rv>
  <rv s="0">
    <fb>1.0404</fb>
    <v>2</v>
  </rv>
  <rv s="0">
    <fb>1.0422</fb>
    <v>2</v>
  </rv>
  <rv s="0">
    <fb>1.0427</fb>
    <v>2</v>
  </rv>
  <rv s="0">
    <fb>1.0407</fb>
    <v>2</v>
  </rv>
  <rv s="0">
    <fb>1.0353000000000001</fb>
    <v>2</v>
  </rv>
  <rv s="0">
    <fb>1.0355000000000001</fb>
    <v>2</v>
  </rv>
  <rv s="0">
    <fb>1.0265</fb>
    <v>2</v>
  </rv>
  <rv s="0">
    <fb>1.0307999999999999</fb>
    <v>2</v>
  </rv>
  <rv s="0">
    <fb>1.0389999999999999</fb>
    <v>2</v>
  </rv>
  <rv s="0">
    <fb>1.0339</fb>
    <v>2</v>
  </rv>
  <rv s="0">
    <fb>1.0318000000000001</fb>
    <v>2</v>
  </rv>
  <rv s="0">
    <fb>1.0298</fb>
    <v>2</v>
  </rv>
  <rv s="0">
    <fb>1.0244</fb>
    <v>2</v>
  </rv>
  <rv s="0">
    <fb>1.0306999999999999</fb>
    <v>2</v>
  </rv>
  <rv s="0">
    <fb>1.0288999999999999</fb>
    <v>2</v>
  </rv>
  <rv s="0">
    <fb>1.0270999999999999</fb>
    <v>2</v>
  </rv>
  <rv s="0">
    <fb>1.0414000000000001</fb>
    <v>2</v>
  </rv>
  <rv s="0">
    <fb>1.0415000000000001</fb>
    <v>2</v>
  </rv>
  <rv s="0">
    <fb>1.0492999999999999</fb>
    <v>2</v>
  </rv>
  <rv s="0">
    <fb>1.0490999999999999</fb>
    <v>2</v>
  </rv>
  <rv s="0">
    <fb>1.0427999999999999</fb>
    <v>2</v>
  </rv>
  <rv s="0">
    <fb>1.042</fb>
    <v>2</v>
  </rv>
  <rv s="0">
    <fb>1.0344</fb>
    <v>2</v>
  </rv>
  <rv s="0">
    <fb>1.0377000000000001</fb>
    <v>2</v>
  </rv>
  <rv s="0">
    <fb>1.0402</fb>
    <v>2</v>
  </rv>
  <rv s="0">
    <fb>1.0381</fb>
    <v>2</v>
  </rv>
  <rv s="0">
    <fb>1.0327</fb>
    <v>2</v>
  </rv>
  <rv s="0">
    <fb>1.0306</fb>
    <v>2</v>
  </rv>
  <rv s="0">
    <fb>1.036</fb>
    <v>2</v>
  </rv>
  <rv s="0">
    <fb>1.0382</fb>
    <v>2</v>
  </rv>
  <rv s="0">
    <fb>1.0464</fb>
    <v>2</v>
  </rv>
  <rv s="0">
    <fb>1.0482</fb>
    <v>2</v>
  </rv>
  <rv s="0">
    <fb>1.0445</fb>
    <v>2</v>
  </rv>
  <rv s="0">
    <fb>1.0421</fb>
    <v>2</v>
  </rv>
  <rv s="0">
    <fb>1.05</fb>
    <v>2</v>
  </rv>
  <rv s="0">
    <fb>1.0458000000000001</fb>
    <v>2</v>
  </rv>
  <rv s="0">
    <fb>1.0466</fb>
    <v>2</v>
  </rv>
  <rv s="0">
    <fb>111.5617</fb>
    <v>1</v>
  </rv>
  <rv s="0">
    <fb>107.95529999999999</fb>
    <v>1</v>
  </rv>
  <rv s="0">
    <fb>111.0253</fb>
    <v>1</v>
  </rv>
  <rv s="0">
    <fb>108.7513</fb>
    <v>1</v>
  </rv>
  <rv s="0">
    <fb>110.45440000000001</fb>
    <v>1</v>
  </rv>
  <rv s="0">
    <fb>108.4085</fb>
    <v>1</v>
  </rv>
  <rv s="0">
    <fb>110.44799999999999</fb>
    <v>1</v>
  </rv>
  <rv s="0">
    <fb>107.1707</fb>
    <v>1</v>
  </rv>
  <rv s="0">
    <fb>110.7976</fb>
    <v>1</v>
  </rv>
  <rv s="0">
    <fb>106.8379</fb>
    <v>1</v>
  </rv>
  <rv s="0">
    <fb>110.866</fb>
    <v>1</v>
  </rv>
  <rv s="0">
    <fb>106.6872</fb>
    <v>1</v>
  </rv>
  <rv s="0">
    <fb>111.01049999999999</fb>
    <v>1</v>
  </rv>
  <rv s="0">
    <fb>107.1139</fb>
    <v>1</v>
  </rv>
  <rv s="0">
    <fb>111.37520000000001</fb>
    <v>1</v>
  </rv>
  <rv s="0">
    <fb>108.2411</fb>
    <v>1</v>
  </rv>
  <rv s="0">
    <fb>111.36409999999999</fb>
    <v>1</v>
  </rv>
  <rv s="0">
    <fb>107.7131</fb>
    <v>1</v>
  </rv>
  <rv s="0">
    <fb>112.3817</fb>
    <v>1</v>
  </rv>
  <rv s="0">
    <fb>107.1159</fb>
    <v>1</v>
  </rv>
  <rv s="0">
    <fb>112.8909</fb>
    <v>1</v>
  </rv>
  <rv s="0">
    <fb>107.5523</fb>
    <v>1</v>
  </rv>
  <rv s="0">
    <fb>112.8051</fb>
    <v>1</v>
  </rv>
  <rv s="0">
    <fb>107.4264</fb>
    <v>1</v>
  </rv>
  <rv s="0">
    <fb>112.2628</fb>
    <v>1</v>
  </rv>
  <rv s="0">
    <fb>107.554</fb>
    <v>1</v>
  </rv>
  <rv s="0">
    <fb>112.4554</fb>
    <v>1</v>
  </rv>
  <rv s="0">
    <fb>107.4388</fb>
    <v>1</v>
  </rv>
  <rv s="0">
    <fb>112.60120000000001</fb>
    <v>1</v>
  </rv>
  <rv s="0">
    <fb>107.0731</fb>
    <v>1</v>
  </rv>
  <rv s="0">
    <fb>112.28019999999999</fb>
    <v>1</v>
  </rv>
  <rv s="0">
    <fb>106.86360000000001</fb>
    <v>1</v>
  </rv>
  <rv s="0">
    <fb>112.0844</fb>
    <v>1</v>
  </rv>
  <rv s="0">
    <fb>106.69540000000001</fb>
    <v>1</v>
  </rv>
  <rv s="0">
    <fb>112.136</fb>
    <v>1</v>
  </rv>
  <rv s="0">
    <fb>107.02549999999999</fb>
    <v>1</v>
  </rv>
  <rv s="0">
    <fb>112.1026</fb>
    <v>1</v>
  </rv>
  <rv s="0">
    <fb>107.82599999999999</fb>
    <v>1</v>
  </rv>
  <rv s="0">
    <fb>112.1347</fb>
    <v>1</v>
  </rv>
  <rv s="0">
    <fb>108.76139999999999</fb>
    <v>1</v>
  </rv>
  <rv s="0">
    <fb>112.49720000000001</fb>
    <v>1</v>
  </rv>
  <rv s="0">
    <fb>108.7362</fb>
    <v>1</v>
  </rv>
  <rv s="0">
    <fb>112.196</fb>
    <v>1</v>
  </rv>
  <rv s="0">
    <fb>108.5598</fb>
    <v>1</v>
  </rv>
  <rv s="0">
    <fb>112.39530000000001</fb>
    <v>1</v>
  </rv>
  <rv s="0">
    <fb>108.5261</fb>
    <v>1</v>
  </rv>
  <rv s="0">
    <fb>112.63630000000001</fb>
    <v>1</v>
  </rv>
  <rv s="0">
    <fb>109.44589999999999</fb>
    <v>1</v>
  </rv>
  <rv s="0">
    <fb>112.82340000000001</fb>
    <v>1</v>
  </rv>
  <rv s="0">
    <fb>109.151</fb>
    <v>1</v>
  </rv>
  <rv s="0">
    <fb>113.126</fb>
    <v>1</v>
  </rv>
  <rv s="0">
    <fb>108.7675</fb>
    <v>1</v>
  </rv>
  <rv s="0">
    <fb>113.23139999999999</fb>
    <v>1</v>
  </rv>
  <rv s="0">
    <fb>109.25109999999999</fb>
    <v>1</v>
  </rv>
  <rv s="0">
    <fb>112.5817</fb>
    <v>1</v>
  </rv>
  <rv s="0">
    <fb>109.60680000000001</fb>
    <v>1</v>
  </rv>
  <rv s="0">
    <fb>113.16849999999999</fb>
    <v>1</v>
  </rv>
  <rv s="0">
    <fb>110.1651</fb>
    <v>1</v>
  </rv>
  <rv s="0">
    <fb>113.3241</fb>
    <v>1</v>
  </rv>
  <rv s="0">
    <fb>110.20610000000001</fb>
    <v>1</v>
  </rv>
  <rv s="0">
    <fb>113.423</fb>
    <v>1</v>
  </rv>
  <rv s="0">
    <fb>110.4863</fb>
    <v>1</v>
  </rv>
  <rv s="0">
    <fb>113.5149</fb>
    <v>1</v>
  </rv>
  <rv s="0">
    <fb>110.35769999999999</fb>
    <v>1</v>
  </rv>
  <rv s="0">
    <fb>113.5399</fb>
    <v>1</v>
  </rv>
  <rv s="0">
    <fb>110.5926</fb>
    <v>1</v>
  </rv>
  <rv s="0">
    <fb>113.67740000000001</fb>
    <v>1</v>
  </rv>
  <rv s="0">
    <fb>110.0672</fb>
    <v>1</v>
  </rv>
  <rv s="0">
    <fb>113.7118</fb>
    <v>1</v>
  </rv>
  <rv s="0">
    <fb>110.1537</fb>
    <v>1</v>
  </rv>
  <rv s="0">
    <fb>114.0277</fb>
    <v>1</v>
  </rv>
  <rv s="0">
    <fb>110.4353</fb>
    <v>1</v>
  </rv>
  <rv s="0">
    <fb>114.5243</fb>
    <v>1</v>
  </rv>
  <rv s="0">
    <fb>110.0343</fb>
    <v>1</v>
  </rv>
  <rv s="0">
    <fb>116.1641</fb>
    <v>1</v>
  </rv>
  <rv s="0">
    <fb>110.1986</fb>
    <v>1</v>
  </rv>
  <rv s="0">
    <fb>114.9823</fb>
    <v>1</v>
  </rv>
  <rv s="0">
    <fb>109.5792</fb>
    <v>1</v>
  </rv>
  <rv s="0">
    <fb>115.5621</fb>
    <v>1</v>
  </rv>
  <rv s="0">
    <fb>109.5309</fb>
    <v>1</v>
  </rv>
  <rv s="0">
    <fb>113.45569999999999</fb>
    <v>1</v>
  </rv>
  <rv s="0">
    <fb>110.5177</fb>
    <v>1</v>
  </rv>
  <rv s="0">
    <fb>113.3633</fb>
    <v>1</v>
  </rv>
  <rv s="0">
    <fb>110.3548</fb>
    <v>1</v>
  </rv>
  <rv s="0">
    <fb>113.3437</fb>
    <v>1</v>
  </rv>
  <rv s="0">
    <fb>110.06619999999999</fb>
    <v>1</v>
  </rv>
  <rv s="0">
    <fb>113.86709999999999</fb>
    <v>1</v>
  </rv>
  <rv s="0">
    <fb>110.28579999999999</fb>
    <v>1</v>
  </rv>
  <rv s="0">
    <fb>114.2045</fb>
    <v>1</v>
  </rv>
  <rv s="0">
    <fb>110.8216</fb>
    <v>1</v>
  </rv>
  <rv s="0">
    <fb>114.6692</fb>
    <v>1</v>
  </rv>
  <rv s="0">
    <fb>110.8883</fb>
    <v>1</v>
  </rv>
  <rv s="0">
    <fb>114.9087</fb>
    <v>1</v>
  </rv>
  <rv s="0">
    <fb>111.0335</fb>
    <v>1</v>
  </rv>
  <rv s="0">
    <fb>114.9564</fb>
    <v>1</v>
  </rv>
  <rv s="0">
    <fb>111.58880000000001</fb>
    <v>1</v>
  </rv>
  <rv s="0">
    <fb>115.396</fb>
    <v>1</v>
  </rv>
  <rv s="0">
    <fb>111.65</fb>
    <v>1</v>
  </rv>
  <rv s="0">
    <fb>115.6696</fb>
    <v>1</v>
  </rv>
  <rv s="0">
    <fb>111.3993</fb>
    <v>1</v>
  </rv>
  <rv s="0">
    <fb>115.1279</fb>
    <v>1</v>
  </rv>
  <rv s="0">
    <fb>111.57250000000001</fb>
    <v>1</v>
  </rv>
  <rv s="0">
    <fb>115.40519999999999</fb>
    <v>1</v>
  </rv>
  <rv s="0">
    <fb>111.5147</fb>
    <v>1</v>
  </rv>
  <rv s="0">
    <fb>115.64749999999999</fb>
    <v>1</v>
  </rv>
  <rv s="0">
    <fb>111.6246</fb>
    <v>1</v>
  </rv>
  <rv s="0">
    <fb>115.9222</fb>
    <v>1</v>
  </rv>
  <rv s="0">
    <fb>111.7988</fb>
    <v>1</v>
  </rv>
  <rv s="0">
    <fb>115.87269999999999</fb>
    <v>1</v>
  </rv>
  <rv s="0">
    <fb>112.05329999999999</fb>
    <v>1</v>
  </rv>
  <rv s="0">
    <fb>116.05719999999999</fb>
    <v>1</v>
  </rv>
  <rv s="0">
    <fb>112.0292</fb>
    <v>1</v>
  </rv>
  <rv s="0">
    <fb>116.08110000000001</fb>
    <v>1</v>
  </rv>
  <rv s="0">
    <fb>112.0779</fb>
    <v>1</v>
  </rv>
  <rv s="0">
    <fb>116.2544</fb>
    <v>1</v>
  </rv>
  <rv s="0">
    <fb>111.9542</fb>
    <v>1</v>
  </rv>
  <rv s="0">
    <fb>116.2012</fb>
    <v>1</v>
  </rv>
  <rv s="0">
    <fb>111.929</fb>
    <v>1</v>
  </rv>
  <rv s="0">
    <fb>116.4961</fb>
    <v>1</v>
  </rv>
  <rv s="0">
    <fb>111.4182</fb>
    <v>1</v>
  </rv>
  <rv s="0">
    <fb>116.5718</fb>
    <v>1</v>
  </rv>
  <rv s="0">
    <fb>111.6391</fb>
    <v>1</v>
  </rv>
  <rv s="0">
    <fb>116.1383</fb>
    <v>1</v>
  </rv>
  <rv s="0">
    <fb>112.01990000000001</fb>
    <v>1</v>
  </rv>
  <rv s="0">
    <fb>116.39660000000001</fb>
    <v>1</v>
  </rv>
  <rv s="0">
    <fb>111.72</fb>
    <v>1</v>
  </rv>
  <rv s="0">
    <fb>115.9646</fb>
    <v>1</v>
  </rv>
  <rv s="0">
    <fb>114.974</fb>
    <v>1</v>
  </rv>
  <rv s="0">
    <fb>115.7153</fb>
    <v>1</v>
  </rv>
  <rv s="0">
    <fb>115.6018</fb>
    <v>1</v>
  </rv>
  <rv s="0">
    <fb>115.9024</fb>
    <v>1</v>
  </rv>
  <rv s="0">
    <fb>116.07040000000001</fb>
    <v>1</v>
  </rv>
  <rv s="0">
    <fb>116.08159999999999</fb>
    <v>1</v>
  </rv>
  <rv s="0">
    <fb>116.3141</fb>
    <v>1</v>
  </rv>
  <rv s="0">
    <fb>116.21639999999999</fb>
    <v>1</v>
  </rv>
  <rv s="0">
    <fb>116.2861</fb>
    <v>1</v>
  </rv>
  <rv s="0">
    <fb>116.6322</fb>
    <v>1</v>
  </rv>
  <rv s="0">
    <fb>116.8394</fb>
    <v>1</v>
  </rv>
  <rv s="0">
    <fb>117.0183</fb>
    <v>1</v>
  </rv>
  <rv s="0">
    <fb>117.31270000000001</fb>
    <v>1</v>
  </rv>
  <rv s="0">
    <fb>117.8827</fb>
    <v>1</v>
  </rv>
  <rv s="0">
    <fb>117.9614</fb>
    <v>1</v>
  </rv>
  <rv s="0">
    <fb>117.86109999999999</fb>
    <v>1</v>
  </rv>
  <rv s="0">
    <fb>118.3411</fb>
    <v>1</v>
  </rv>
  <rv s="0">
    <fb>118.29559999999999</fb>
    <v>1</v>
  </rv>
  <rv s="0">
    <fb>118.5625</fb>
    <v>1</v>
  </rv>
  <rv s="0">
    <fb>118.8706</fb>
    <v>1</v>
  </rv>
  <rv s="0">
    <fb>119.0385</fb>
    <v>1</v>
  </rv>
  <rv s="0">
    <fb>119.4003</fb>
    <v>1</v>
  </rv>
  <rv s="0">
    <fb>119.2413</fb>
    <v>1</v>
  </rv>
  <rv s="0">
    <fb>119.15779999999999</fb>
    <v>1</v>
  </rv>
  <rv s="0">
    <fb>119.1185</fb>
    <v>1</v>
  </rv>
  <rv s="0">
    <fb>119.4004</fb>
    <v>1</v>
  </rv>
  <rv s="0">
    <fb>119.8532</fb>
    <v>1</v>
  </rv>
  <rv s="0">
    <fb>118.2353</fb>
    <v>1</v>
  </rv>
  <rv s="0">
    <fb>117.7317</fb>
    <v>1</v>
  </rv>
  <rv s="0">
    <fb>117.58450000000001</fb>
    <v>1</v>
  </rv>
  <rv s="0">
    <fb>117.7774</fb>
    <v>1</v>
  </rv>
  <rv s="0">
    <fb>116.42440000000001</fb>
    <v>1</v>
  </rv>
  <rv s="0">
    <fb>117.0659</fb>
    <v>1</v>
  </rv>
  <rv s="0">
    <fb>117.0146</fb>
    <v>1</v>
  </rv>
  <rv s="0">
    <fb>116.64190000000001</fb>
    <v>1</v>
  </rv>
  <rv s="0">
    <fb>115.6127</fb>
    <v>1</v>
  </rv>
  <rv s="0">
    <fb>114.5356</fb>
    <v>1</v>
  </rv>
  <rv s="0">
    <fb>114.58240000000001</fb>
    <v>1</v>
  </rv>
  <rv s="0">
    <fb>114.4772</fb>
    <v>1</v>
  </rv>
  <rv s="0">
    <fb>114.63339999999999</fb>
    <v>1</v>
  </rv>
  <rv s="0">
    <fb>113.7962</fb>
    <v>1</v>
  </rv>
  <rv s="0">
    <fb>112.2353</fb>
    <v>1</v>
  </rv>
  <rv s="0">
    <fb>111.7295</fb>
    <v>1</v>
  </rv>
  <rv s="0">
    <fb>110.4379</fb>
    <v>1</v>
  </rv>
  <rv s="0">
    <fb>108.7911</fb>
    <v>1</v>
  </rv>
  <rv s="0">
    <fb>108.84820000000001</fb>
    <v>1</v>
  </rv>
  <rv s="0">
    <fb>110.476</fb>
    <v>1</v>
  </rv>
  <rv s="0">
    <fb>111.08759999999999</fb>
    <v>1</v>
  </rv>
  <rv s="0">
    <fb>110.6407</fb>
    <v>1</v>
  </rv>
  <rv s="0">
    <fb>111.0868</fb>
    <v>1</v>
  </rv>
  <rv s="0">
    <fb>111.3952</fb>
    <v>1</v>
  </rv>
  <rv s="0">
    <fb>111.86969999999999</fb>
    <v>1</v>
  </rv>
  <rv s="0">
    <fb>112.8364</fb>
    <v>1</v>
  </rv>
  <rv s="0">
    <fb>112.1514</fb>
    <v>1</v>
  </rv>
  <rv s="0">
    <fb>112.0138</fb>
    <v>1</v>
  </rv>
  <rv s="0">
    <fb>111.2856</fb>
    <v>1</v>
  </rv>
  <rv s="0">
    <fb>111.2422</fb>
    <v>1</v>
  </rv>
  <rv s="0">
    <fb>111.5467</fb>
    <v>1</v>
  </rv>
  <rv s="0">
    <fb>110.95140000000001</fb>
    <v>1</v>
  </rv>
  <rv s="0">
    <fb>110.8027</fb>
    <v>1</v>
  </rv>
  <rv s="0">
    <fb>110.6032</fb>
    <v>1</v>
  </rv>
  <rv s="0">
    <fb>110.9083</fb>
    <v>1</v>
  </rv>
  <rv s="0">
    <fb>111.2407</fb>
    <v>1</v>
  </rv>
  <rv s="0">
    <fb>111.84569999999999</fb>
    <v>1</v>
  </rv>
  <rv s="0">
    <fb>112.369</fb>
    <v>1</v>
  </rv>
  <rv s="0">
    <fb>111.2837</fb>
    <v>1</v>
  </rv>
  <rv s="0">
    <fb>110.2055</fb>
    <v>1</v>
  </rv>
  <rv s="0">
    <fb>110.33</fb>
    <v>1</v>
  </rv>
  <rv s="0">
    <fb>109.2116</fb>
    <v>1</v>
  </rv>
  <rv s="0">
    <fb>109.6416</fb>
    <v>1</v>
  </rv>
  <rv s="0">
    <fb>109.1585</fb>
    <v>1</v>
  </rv>
  <rv s="0">
    <fb>109.155</fb>
    <v>1</v>
  </rv>
  <rv s="0">
    <fb>108.95189999999999</fb>
    <v>1</v>
  </rv>
  <rv s="0">
    <fb>108.49</fb>
    <v>1</v>
  </rv>
  <rv s="0">
    <fb>108.5463</fb>
    <v>1</v>
  </rv>
  <rv s="0">
    <fb>109.79179999999999</fb>
    <v>1</v>
  </rv>
  <rv s="0">
    <fb>109.8271</fb>
    <v>1</v>
  </rv>
  <rv s="0">
    <fb>110.3536</fb>
    <v>1</v>
  </rv>
  <rv s="0">
    <fb>111.4199</fb>
    <v>1</v>
  </rv>
  <rv s="0">
    <fb>111.2402</fb>
    <v>1</v>
  </rv>
  <rv s="0">
    <fb>111.5681</fb>
    <v>1</v>
  </rv>
  <rv s="0">
    <fb>112.17449999999999</fb>
    <v>1</v>
  </rv>
  <rv s="0">
    <fb>112.83410000000001</fb>
    <v>1</v>
  </rv>
  <rv s="0">
    <fb>110.93859999999999</fb>
    <v>1</v>
  </rv>
  <rv s="0">
    <fb>111.74039999999999</fb>
    <v>1</v>
  </rv>
  <rv s="0">
    <fb>111.4423</fb>
    <v>1</v>
  </rv>
  <rv s="0">
    <fb>113.35039999999999</fb>
    <v>1</v>
  </rv>
  <rv s="0">
    <fb>113.19929999999999</fb>
    <v>1</v>
  </rv>
  <rv s="0">
    <fb>113.9628</fb>
    <v>1</v>
  </rv>
  <rv s="0">
    <fb>113.6088</fb>
    <v>1</v>
  </rv>
  <rv s="0">
    <fb>113.6426</fb>
    <v>1</v>
  </rv>
  <rv s="0">
    <fb>114.1972</fb>
    <v>1</v>
  </rv>
  <rv s="0">
    <fb>113.77809999999999</fb>
    <v>1</v>
  </rv>
  <rv s="0">
    <fb>114.27589999999999</fb>
    <v>1</v>
  </rv>
  <rv s="0">
    <fb>114.444</fb>
    <v>1</v>
  </rv>
  <rv s="0">
    <fb>113.929</fb>
    <v>1</v>
  </rv>
  <rv s="0">
    <fb>113.9267</fb>
    <v>1</v>
  </rv>
  <rv s="0">
    <fb>114.25530000000001</fb>
    <v>1</v>
  </rv>
  <rv s="0">
    <fb>114.0939</fb>
    <v>1</v>
  </rv>
  <rv s="0">
    <fb>114.5776</fb>
    <v>1</v>
  </rv>
  <rv s="0">
    <fb>114.7349</fb>
    <v>1</v>
  </rv>
  <rv s="0">
    <fb>115.43980000000001</fb>
    <v>1</v>
  </rv>
  <rv s="0">
    <fb>115.1722</fb>
    <v>1</v>
  </rv>
  <rv s="0">
    <fb>115.21299999999999</fb>
    <v>1</v>
  </rv>
  <rv s="0">
    <fb>115.8579</fb>
    <v>1</v>
  </rv>
  <rv s="0">
    <fb>115.77079999999999</fb>
    <v>1</v>
  </rv>
  <rv s="0">
    <fb>116.0076</fb>
    <v>1</v>
  </rv>
  <rv s="0">
    <fb>115.1568</fb>
    <v>1</v>
  </rv>
  <rv s="0">
    <fb>115.31740000000001</fb>
    <v>1</v>
  </rv>
  <rv s="0">
    <fb>115.2587</fb>
    <v>1</v>
  </rv>
  <rv s="0">
    <fb>115.31910000000001</fb>
    <v>1</v>
  </rv>
  <rv s="0">
    <fb>115.9406</fb>
    <v>1</v>
  </rv>
  <rv s="0">
    <fb>115.8385</fb>
    <v>1</v>
  </rv>
  <rv s="0">
    <fb>115.03619999999999</fb>
    <v>1</v>
  </rv>
  <rv s="0">
    <fb>115.199</fb>
    <v>1</v>
  </rv>
  <rv s="0">
    <fb>115.50239999999999</fb>
    <v>1</v>
  </rv>
  <rv s="0">
    <fb>115.7569</fb>
    <v>1</v>
  </rv>
  <rv s="0">
    <fb>116.033</fb>
    <v>1</v>
  </rv>
  <rv s="0">
    <fb>114.93040000000001</fb>
    <v>1</v>
  </rv>
  <rv s="0">
    <fb>115.4966</fb>
    <v>1</v>
  </rv>
  <rv s="0">
    <fb>115.5398</fb>
    <v>1</v>
  </rv>
  <rv s="0">
    <fb>115.699</fb>
    <v>1</v>
  </rv>
  <rv s="0">
    <fb>114.7238</fb>
    <v>1</v>
  </rv>
  <rv s="0">
    <fb>114.8946</fb>
    <v>1</v>
  </rv>
  <rv s="0">
    <fb>114.56059999999999</fb>
    <v>1</v>
  </rv>
  <rv s="0">
    <fb>113.6769</fb>
    <v>1</v>
  </rv>
  <rv s="0">
    <fb>112.7191</fb>
    <v>1</v>
  </rv>
  <rv s="0">
    <fb>112.84529999999999</fb>
    <v>1</v>
  </rv>
  <rv s="0">
    <fb>111.7788</fb>
    <v>1</v>
  </rv>
  <rv s="0">
    <fb>111.1367</fb>
    <v>1</v>
  </rv>
  <rv s="0">
    <fb>111.235</fb>
    <v>1</v>
  </rv>
  <rv s="0">
    <fb>112.0536</fb>
    <v>1</v>
  </rv>
  <rv s="0">
    <fb>112.0502</fb>
    <v>1</v>
  </rv>
  <rv s="0">
    <fb>111.71259999999999</fb>
    <v>1</v>
  </rv>
  <rv s="0">
    <fb>112.7694</fb>
    <v>1</v>
  </rv>
  <rv s="0">
    <fb>113.235</fb>
    <v>1</v>
  </rv>
  <rv s="0">
    <fb>113.3467</fb>
    <v>1</v>
  </rv>
  <rv s="0">
    <fb>113.3036</fb>
    <v>1</v>
  </rv>
  <rv s="0">
    <fb>113.88330000000001</fb>
    <v>1</v>
  </rv>
  <rv s="0">
    <fb>114.1936</fb>
    <v>1</v>
  </rv>
  <rv s="0">
    <fb>113.672</fb>
    <v>1</v>
  </rv>
  <rv s="0">
    <fb>113.55629999999999</fb>
    <v>1</v>
  </rv>
  <rv s="0">
    <fb>115.6383</fb>
    <v>1</v>
  </rv>
  <rv s="0">
    <fb>115.3381</fb>
    <v>1</v>
  </rv>
  <rv s="0">
    <fb>115.76309999999999</fb>
    <v>1</v>
  </rv>
  <rv s="0">
    <fb>115.6075</fb>
    <v>1</v>
  </rv>
  <rv s="0">
    <fb>115.8205</fb>
    <v>1</v>
  </rv>
  <rv s="0">
    <fb>116.2534</fb>
    <v>1</v>
  </rv>
  <rv s="0">
    <fb>116.11239999999999</fb>
    <v>1</v>
  </rv>
  <rv s="0">
    <fb>115.2992</fb>
    <v>1</v>
  </rv>
  <rv s="0">
    <fb>115.0827</fb>
    <v>1</v>
  </rv>
  <rv s="0">
    <fb>114.8053</fb>
    <v>1</v>
  </rv>
  <rv s="0">
    <fb>114.8691</fb>
    <v>1</v>
  </rv>
  <rv s="0">
    <fb>114.7454</fb>
    <v>1</v>
  </rv>
  <rv s="0">
    <fb>115.59220000000001</fb>
    <v>1</v>
  </rv>
  <rv s="0">
    <fb>115.85429999999999</fb>
    <v>1</v>
  </rv>
  <rv s="0">
    <fb>115.7529</fb>
    <v>1</v>
  </rv>
  <rv s="0">
    <fb>115.4812</fb>
    <v>1</v>
  </rv>
  <rv s="0">
    <fb>114.9679</fb>
    <v>1</v>
  </rv>
  <rv s="0">
    <fb>114.9584</fb>
    <v>1</v>
  </rv>
  <rv s="0">
    <fb>115.5692</fb>
    <v>1</v>
  </rv>
  <rv s="0">
    <fb>114.4456</fb>
    <v>1</v>
  </rv>
  <rv s="0">
    <fb>113.52460000000001</fb>
    <v>1</v>
  </rv>
  <rv s="0">
    <fb>114.0959</fb>
    <v>1</v>
  </rv>
  <rv s="0">
    <fb>114.65730000000001</fb>
    <v>1</v>
  </rv>
  <rv s="0">
    <fb>114.9468</fb>
    <v>1</v>
  </rv>
  <rv s="0">
    <fb>115.4692</fb>
    <v>1</v>
  </rv>
  <rv s="0">
    <fb>115.08110000000001</fb>
    <v>1</v>
  </rv>
  <rv s="0">
    <fb>115.8669</fb>
    <v>1</v>
  </rv>
  <rv s="0">
    <fb>114.8454</fb>
    <v>1</v>
  </rv>
  <rv s="0">
    <fb>115.1062</fb>
    <v>1</v>
  </rv>
  <rv s="0">
    <fb>114.96299999999999</fb>
    <v>1</v>
  </rv>
  <rv s="0">
    <fb>114.00069999999999</fb>
    <v>1</v>
  </rv>
  <rv s="0">
    <fb>114.1617</fb>
    <v>1</v>
  </rv>
  <rv s="0">
    <fb>113.82859999999999</fb>
    <v>1</v>
  </rv>
  <rv s="0">
    <fb>114.1241</fb>
    <v>1</v>
  </rv>
  <rv s="0">
    <fb>113.12179999999999</fb>
    <v>1</v>
  </rv>
  <rv s="0">
    <fb>112.1279</fb>
    <v>1</v>
  </rv>
  <rv s="0">
    <fb>111.7013</fb>
    <v>1</v>
  </rv>
  <rv s="0">
    <fb>112.1366</fb>
    <v>1</v>
  </rv>
  <rv s="0">
    <fb>112.67270000000001</fb>
    <v>1</v>
  </rv>
  <rv s="0">
    <fb>114.0652</fb>
    <v>1</v>
  </rv>
  <rv s="0">
    <fb>113.7169</fb>
    <v>1</v>
  </rv>
  <rv s="0">
    <fb>113.6876</fb>
    <v>1</v>
  </rv>
  <rv s="0">
    <fb>112.8828</fb>
    <v>1</v>
  </rv>
  <rv s="0">
    <fb>113.242</fb>
    <v>1</v>
  </rv>
  <rv s="0">
    <fb>112.768</fb>
    <v>1</v>
  </rv>
  <rv s="0">
    <fb>112.18510000000001</fb>
    <v>1</v>
  </rv>
  <rv s="0">
    <fb>111.6688</fb>
    <v>1</v>
  </rv>
  <rv s="0">
    <fb>111.7739</fb>
    <v>1</v>
  </rv>
  <rv s="0">
    <fb>1.2728999999999999</fb>
    <v>2</v>
  </rv>
  <rv s="0">
    <fb>1.2545999999999999</fb>
    <v>2</v>
  </rv>
  <rv s="0">
    <fb>1.2806</fb>
    <v>2</v>
  </rv>
  <rv s="0">
    <fb>1.2553000000000001</fb>
    <v>2</v>
  </rv>
  <rv s="0">
    <fb>1.2857000000000001</fb>
    <v>2</v>
  </rv>
  <rv s="0">
    <fb>1.2561</fb>
    <v>2</v>
  </rv>
  <rv s="0">
    <fb>1.2811999999999999</fb>
    <v>2</v>
  </rv>
  <rv s="0">
    <fb>1.2618</fb>
    <v>2</v>
  </rv>
  <rv s="0">
    <fb>1.2790999999999999</fb>
    <v>2</v>
  </rv>
  <rv s="0">
    <fb>1.2766</fb>
    <v>2</v>
  </rv>
  <rv s="0">
    <fb>1.2796000000000001</fb>
    <v>2</v>
  </rv>
  <rv s="0">
    <fb>1.2675000000000001</fb>
    <v>2</v>
  </rv>
  <rv s="0">
    <fb>1.2750999999999999</fb>
    <v>2</v>
  </rv>
  <rv s="0">
    <fb>1.2642</fb>
    <v>2</v>
  </rv>
  <rv s="0">
    <fb>1.2739</fb>
    <v>2</v>
  </rv>
  <rv s="0">
    <fb>1.2729999999999999</fb>
    <v>2</v>
  </rv>
  <rv s="0">
    <fb>1.2726999999999999</fb>
    <v>2</v>
  </rv>
  <rv s="0">
    <fb>1.2637</fb>
    <v>2</v>
  </rv>
  <rv s="0">
    <fb>1.272</fb>
    <v>2</v>
  </rv>
  <rv s="0">
    <fb>1.2687999999999999</fb>
    <v>2</v>
  </rv>
  <rv s="0">
    <fb>1.2784</fb>
    <v>2</v>
  </rv>
  <rv s="0">
    <fb>1.27</fb>
    <v>2</v>
  </rv>
  <rv s="0">
    <fb>1.2656000000000001</fb>
    <v>2</v>
  </rv>
  <rv s="0">
    <fb>1.2688999999999999</fb>
    <v>2</v>
  </rv>
  <rv s="0">
    <fb>1.2601</fb>
    <v>2</v>
  </rv>
  <rv s="0">
    <fb>1.2726</fb>
    <v>2</v>
  </rv>
  <rv s="0">
    <fb>1.2634000000000001</fb>
    <v>2</v>
  </rv>
  <rv s="0">
    <fb>1.2794000000000001</fb>
    <v>2</v>
  </rv>
  <rv s="0">
    <fb>1.2625</fb>
    <v>2</v>
  </rv>
  <rv s="0">
    <fb>1.2638</fb>
    <v>2</v>
  </rv>
  <rv s="0">
    <fb>1.2622</fb>
    <v>2</v>
  </rv>
  <rv s="0">
    <fb>1.2723</fb>
    <v>2</v>
  </rv>
  <rv s="0">
    <fb>1.2623</fb>
    <v>2</v>
  </rv>
  <rv s="0">
    <fb>1.2614000000000001</fb>
    <v>2</v>
  </rv>
  <rv s="0">
    <fb>1.2549999999999999</fb>
    <v>2</v>
  </rv>
  <rv s="0">
    <fb>1.2662</fb>
    <v>2</v>
  </rv>
  <rv s="0">
    <fb>1.2577</fb>
    <v>2</v>
  </rv>
  <rv s="0">
    <fb>1.2679</fb>
    <v>2</v>
  </rv>
  <rv s="0">
    <fb>1.2650999999999999</fb>
    <v>2</v>
  </rv>
  <rv s="0">
    <fb>1.2716000000000001</fb>
    <v>2</v>
  </rv>
  <rv s="0">
    <fb>1.264</fb>
    <v>2</v>
  </rv>
  <rv s="0">
    <fb>1.2746999999999999</fb>
    <v>2</v>
  </rv>
  <rv s="0">
    <fb>1.2636000000000001</fb>
    <v>2</v>
  </rv>
  <rv s="0">
    <fb>1.2705</fb>
    <v>2</v>
  </rv>
  <rv s="0">
    <fb>1.2652000000000001</fb>
    <v>2</v>
  </rv>
  <rv s="0">
    <fb>1.2676000000000001</fb>
    <v>2</v>
  </rv>
  <rv s="0">
    <fb>1.276</fb>
    <v>2</v>
  </rv>
  <rv s="0">
    <fb>1.2531000000000001</fb>
    <v>2</v>
  </rv>
  <rv s="0">
    <fb>1.2725</fb>
    <v>2</v>
  </rv>
  <rv s="0">
    <fb>1.2450000000000001</fb>
    <v>2</v>
  </rv>
  <rv s="0">
    <fb>1.2444</fb>
    <v>2</v>
  </rv>
  <rv s="0">
    <fb>1.2672000000000001</fb>
    <v>2</v>
  </rv>
  <rv s="0">
    <fb>1.2423999999999999</fb>
    <v>2</v>
  </rv>
  <rv s="0">
    <fb>1.2445999999999999</fb>
    <v>2</v>
  </rv>
  <rv s="0">
    <fb>1.2435</fb>
    <v>2</v>
  </rv>
  <rv s="0">
    <fb>1.2706</fb>
    <v>2</v>
  </rv>
  <rv s="0">
    <fb>1.2371000000000001</fb>
    <v>2</v>
  </rv>
  <rv s="0">
    <fb>1.2686999999999999</fb>
    <v>2</v>
  </rv>
  <rv s="0">
    <fb>1.2349000000000001</fb>
    <v>2</v>
  </rv>
  <rv s="0">
    <fb>1.2447999999999999</fb>
    <v>2</v>
  </rv>
  <rv s="0">
    <fb>1.2707999999999999</fb>
    <v>2</v>
  </rv>
  <rv s="0">
    <fb>1.2461</fb>
    <v>2</v>
  </rv>
  <rv s="0">
    <fb>1.2702</fb>
    <v>2</v>
  </rv>
  <rv s="0">
    <fb>1.2513000000000001</fb>
    <v>2</v>
  </rv>
  <rv s="0">
    <fb>1.2706999999999999</fb>
    <v>2</v>
  </rv>
  <rv s="0">
    <fb>1.2488999999999999</fb>
    <v>2</v>
  </rv>
  <rv s="0">
    <fb>1.2697000000000001</fb>
    <v>2</v>
  </rv>
  <rv s="0">
    <fb>1.2685</fb>
    <v>2</v>
  </rv>
  <rv s="0">
    <fb>1.2490000000000001</fb>
    <v>2</v>
  </rv>
  <rv s="0">
    <fb>1.2742</fb>
    <v>2</v>
  </rv>
  <rv s="0">
    <fb>1.2524999999999999</fb>
    <v>2</v>
  </rv>
  <rv s="0">
    <fb>1.2629999999999999</fb>
    <v>2</v>
  </rv>
  <rv s="0">
    <fb>1.2532000000000001</fb>
    <v>2</v>
  </rv>
  <rv s="0">
    <fb>1.2544</fb>
    <v>2</v>
  </rv>
  <rv s="0">
    <fb>1.2597</fb>
    <v>2</v>
  </rv>
  <rv s="0">
    <fb>1.2504</fb>
    <v>2</v>
  </rv>
  <rv s="0">
    <fb>1.2616000000000001</fb>
    <v>2</v>
  </rv>
  <rv s="0">
    <fb>1.2496</fb>
    <v>2</v>
  </rv>
  <rv s="0">
    <fb>1.2619</fb>
    <v>2</v>
  </rv>
  <rv s="0">
    <fb>1.2522</fb>
    <v>2</v>
  </rv>
  <rv s="0">
    <fb>1.2625999999999999</fb>
    <v>2</v>
  </rv>
  <rv s="0">
    <fb>1.2521</fb>
    <v>2</v>
  </rv>
  <rv s="0">
    <fb>1.2588999999999999</fb>
    <v>2</v>
  </rv>
  <rv s="0">
    <fb>1.2558</fb>
    <v>2</v>
  </rv>
  <rv s="0">
    <fb>1.2565</fb>
    <v>2</v>
  </rv>
  <rv s="0">
    <fb>1.2587999999999999</fb>
    <v>2</v>
  </rv>
  <rv s="0">
    <fb>1.26</fb>
    <v>2</v>
  </rv>
  <rv s="0">
    <fb>1.2598</fb>
    <v>2</v>
  </rv>
  <rv s="0">
    <fb>1.2665999999999999</fb>
    <v>2</v>
  </rv>
  <rv s="0">
    <fb>1.2593000000000001</fb>
    <v>2</v>
  </rv>
  <rv s="0">
    <fb>1.2699</fb>
    <v>2</v>
  </rv>
  <rv s="0">
    <fb>1.2704</fb>
    <v>2</v>
  </rv>
  <rv s="0">
    <fb>1.2659</fb>
    <v>2</v>
  </rv>
  <rv s="0">
    <fb>1.2715000000000001</fb>
    <v>2</v>
  </rv>
  <rv s="0">
    <fb>1.2682</fb>
    <v>2</v>
  </rv>
  <rv s="0">
    <fb>1.274</fb>
    <v>2</v>
  </rv>
  <rv s="0">
    <fb>1.2683</fb>
    <v>2</v>
  </rv>
  <rv s="0">
    <fb>1.2766999999999999</fb>
    <v>2</v>
  </rv>
  <rv s="0">
    <fb>1.2661</fb>
    <v>2</v>
  </rv>
  <rv s="0">
    <fb>1.2649999999999999</fb>
    <v>2</v>
  </rv>
  <rv s="0">
    <fb>1.2689999999999999</fb>
    <v>2</v>
  </rv>
  <rv s="0">
    <fb>1.2703</fb>
    <v>2</v>
  </rv>
  <rv s="0">
    <fb>1.2804</fb>
    <v>2</v>
  </rv>
  <rv s="0">
    <fb>1.2763</fb>
    <v>2</v>
  </rv>
  <rv s="0">
    <fb>1.2785</fb>
    <v>2</v>
  </rv>
  <rv s="0">
    <fb>1.2787999999999999</fb>
    <v>2</v>
  </rv>
  <rv s="0">
    <fb>1.2721</fb>
    <v>2</v>
  </rv>
  <rv s="0">
    <fb>1.2759</fb>
    <v>2</v>
  </rv>
  <rv s="0">
    <fb>1.2717000000000001</fb>
    <v>2</v>
  </rv>
  <rv s="0">
    <fb>1.2655000000000001</fb>
    <v>2</v>
  </rv>
  <rv s="0">
    <fb>1.2645</fb>
    <v>2</v>
  </rv>
  <rv s="0">
    <fb>1.262</fb>
    <v>2</v>
  </rv>
  <rv s="0">
    <fb>1.2646999999999999</fb>
    <v>2</v>
  </rv>
  <rv s="0">
    <fb>1.2684</fb>
    <v>2</v>
  </rv>
  <rv s="0">
    <fb>1.2757000000000001</fb>
    <v>2</v>
  </rv>
  <rv s="0">
    <fb>1.2807999999999999</fb>
    <v>2</v>
  </rv>
  <rv s="0">
    <fb>1.2783</fb>
    <v>2</v>
  </rv>
  <rv s="0">
    <fb>1.2845</fb>
    <v>2</v>
  </rv>
  <rv s="0">
    <fb>1.2908999999999999</fb>
    <v>2</v>
  </rv>
  <rv s="0">
    <fb>1.2991999999999999</fb>
    <v>2</v>
  </rv>
  <rv s="0">
    <fb>1.2966</fb>
    <v>2</v>
  </rv>
  <rv s="0">
    <fb>1.2965</fb>
    <v>2</v>
  </rv>
  <rv s="0">
    <fb>1.3008</fb>
    <v>2</v>
  </rv>
  <rv s="0">
    <fb>1.2941</fb>
    <v>2</v>
  </rv>
  <rv s="0">
    <fb>1.2919</fb>
    <v>2</v>
  </rv>
  <rv s="0">
    <fb>1.2931999999999999</fb>
    <v>2</v>
  </rv>
  <rv s="0">
    <fb>1.2905</fb>
    <v>2</v>
  </rv>
  <rv s="0">
    <fb>1.2906</fb>
    <v>2</v>
  </rv>
  <rv s="0">
    <fb>1.2850999999999999</fb>
    <v>2</v>
  </rv>
  <rv s="0">
    <fb>1.2871999999999999</fb>
    <v>2</v>
  </rv>
  <rv s="0">
    <fb>1.2859</fb>
    <v>2</v>
  </rv>
  <rv s="0">
    <fb>1.2834000000000001</fb>
    <v>2</v>
  </rv>
  <rv s="0">
    <fb>1.2856000000000001</fb>
    <v>2</v>
  </rv>
  <rv s="0">
    <fb>1.2798</fb>
    <v>2</v>
  </rv>
  <rv s="0">
    <fb>1.2773000000000001</fb>
    <v>2</v>
  </rv>
  <rv s="0">
    <fb>1.2690999999999999</fb>
    <v>2</v>
  </rv>
  <rv s="0">
    <fb>1.2764</fb>
    <v>2</v>
  </rv>
  <rv s="0">
    <fb>1.2825</fb>
    <v>2</v>
  </rv>
  <rv s="0">
    <fb>1.2944</fb>
    <v>2</v>
  </rv>
  <rv s="0">
    <fb>1.2988</fb>
    <v>2</v>
  </rv>
  <rv s="0">
    <fb>1.3028999999999999</fb>
    <v>2</v>
  </rv>
  <rv s="0">
    <fb>1.3091999999999999</fb>
    <v>2</v>
  </rv>
  <rv s="0">
    <fb>1.3088</fb>
    <v>2</v>
  </rv>
  <rv s="0">
    <fb>1.3209</fb>
    <v>2</v>
  </rv>
  <rv s="0">
    <fb>1.319</fb>
    <v>2</v>
  </rv>
  <rv s="0">
    <fb>1.3254999999999999</fb>
    <v>2</v>
  </rv>
  <rv s="0">
    <fb>1.3168</fb>
    <v>2</v>
  </rv>
  <rv s="0">
    <fb>1.3126</fb>
    <v>2</v>
  </rv>
  <rv s="0">
    <fb>1.3149</fb>
    <v>2</v>
  </rv>
  <rv s="0">
    <fb>1.3110999999999999</fb>
    <v>2</v>
  </rv>
  <rv s="0">
    <fb>1.3142</fb>
    <v>2</v>
  </rv>
  <rv s="0">
    <fb>1.3174999999999999</fb>
    <v>2</v>
  </rv>
  <rv s="0">
    <fb>1.3123</fb>
    <v>2</v>
  </rv>
  <rv s="0">
    <fb>1.3071999999999999</fb>
    <v>2</v>
  </rv>
  <rv s="0">
    <fb>1.3079000000000001</fb>
    <v>2</v>
  </rv>
  <rv s="0">
    <fb>1.3043</fb>
    <v>2</v>
  </rv>
  <rv s="0">
    <fb>1.3122</fb>
    <v>2</v>
  </rv>
  <rv s="0">
    <fb>1.3216000000000001</fb>
    <v>2</v>
  </rv>
  <rv s="0">
    <fb>1.3160000000000001</fb>
    <v>2</v>
  </rv>
  <rv s="0">
    <fb>1.3211999999999999</fb>
    <v>2</v>
  </rv>
  <rv s="0">
    <fb>1.3284</fb>
    <v>2</v>
  </rv>
  <rv s="0">
    <fb>1.3321000000000001</fb>
    <v>2</v>
  </rv>
  <rv s="0">
    <fb>1.3346</fb>
    <v>2</v>
  </rv>
  <rv s="0">
    <fb>1.3411999999999999</fb>
    <v>2</v>
  </rv>
  <rv s="0">
    <fb>1.3323</fb>
    <v>2</v>
  </rv>
  <rv s="0">
    <fb>1.3414999999999999</fb>
    <v>2</v>
  </rv>
  <rv s="0">
    <fb>1.3372999999999999</fb>
    <v>2</v>
  </rv>
  <rv s="0">
    <fb>1.337</fb>
    <v>2</v>
  </rv>
  <rv s="0">
    <fb>1.3285</fb>
    <v>2</v>
  </rv>
  <rv s="0">
    <fb>1.3267</fb>
    <v>2</v>
  </rv>
  <rv s="0">
    <fb>1.3124</fb>
    <v>2</v>
  </rv>
  <rv s="0">
    <fb>1.3116000000000001</fb>
    <v>2</v>
  </rv>
  <rv s="0">
    <fb>1.3083</fb>
    <v>2</v>
  </rv>
  <rv s="0">
    <fb>1.3104</fb>
    <v>2</v>
  </rv>
  <rv s="0">
    <fb>1.3069999999999999</fb>
    <v>2</v>
  </rv>
  <rv s="0">
    <fb>1.3058000000000001</fb>
    <v>2</v>
  </rv>
  <rv s="0">
    <fb>1.3066</fb>
    <v>2</v>
  </rv>
  <rv s="0">
    <fb>1.3059000000000001</fb>
    <v>2</v>
  </rv>
  <rv s="0">
    <fb>1.2989999999999999</fb>
    <v>2</v>
  </rv>
  <rv s="0">
    <fb>1.3009999999999999</fb>
    <v>2</v>
  </rv>
  <rv s="0">
    <fb>1.3048</fb>
    <v>2</v>
  </rv>
  <rv s="0">
    <fb>1.2984</fb>
    <v>2</v>
  </rv>
  <rv s="0">
    <fb>1.2983</fb>
    <v>2</v>
  </rv>
  <rv s="0">
    <fb>1.292</fb>
    <v>2</v>
  </rv>
  <rv s="0">
    <fb>1.2971999999999999</fb>
    <v>2</v>
  </rv>
  <rv s="0">
    <fb>1.2959000000000001</fb>
    <v>2</v>
  </rv>
  <rv s="0">
    <fb>1.2970999999999999</fb>
    <v>2</v>
  </rv>
  <rv s="0">
    <fb>1.3015000000000001</fb>
    <v>2</v>
  </rv>
  <rv s="0">
    <fb>1.2962</fb>
    <v>2</v>
  </rv>
  <rv s="0">
    <fb>1.2898000000000001</fb>
    <v>2</v>
  </rv>
  <rv s="0">
    <fb>1.2926</fb>
    <v>2</v>
  </rv>
  <rv s="0">
    <fb>1.2957000000000001</fb>
    <v>2</v>
  </rv>
  <rv s="0">
    <fb>1.3041</fb>
    <v>2</v>
  </rv>
  <rv s="0">
    <fb>1.2878000000000001</fb>
    <v>2</v>
  </rv>
  <rv s="0">
    <fb>1.2986</fb>
    <v>2</v>
  </rv>
  <rv s="0">
    <fb>1.2921</fb>
    <v>2</v>
  </rv>
  <rv s="0">
    <fb>1.2868999999999999</fb>
    <v>2</v>
  </rv>
  <rv s="0">
    <fb>1.2665</fb>
    <v>2</v>
  </rv>
  <rv s="0">
    <fb>1.2617</fb>
    <v>2</v>
  </rv>
  <rv s="0">
    <fb>1.2585999999999999</fb>
    <v>2</v>
  </rv>
  <rv s="0">
    <fb>1.2566999999999999</fb>
    <v>2</v>
  </rv>
  <rv s="0">
    <fb>1.2567999999999999</fb>
    <v>2</v>
  </rv>
  <rv s="0">
    <fb>1.2678</fb>
    <v>2</v>
  </rv>
  <rv s="0">
    <fb>1.2737000000000001</fb>
    <v>2</v>
  </rv>
  <rv s="0">
    <fb>1.2669999999999999</fb>
    <v>2</v>
  </rv>
  <rv s="0">
    <fb>1.2758</fb>
    <v>2</v>
  </rv>
  <rv s="0">
    <fb>1.2748999999999999</fb>
    <v>2</v>
  </rv>
  <rv s="0">
    <fb>1.2767999999999999</fb>
    <v>2</v>
  </rv>
  <rv s="0">
    <fb>1.2749999999999999</fb>
    <v>2</v>
  </rv>
  <rv s="0">
    <fb>1.2681</fb>
    <v>2</v>
  </rv>
  <rv s="0">
    <fb>1.2709999999999999</fb>
    <v>2</v>
  </rv>
  <rv s="0">
    <fb>1.2573000000000001</fb>
    <v>2</v>
  </rv>
  <rv s="0">
    <fb>1.2499</fb>
    <v>2</v>
  </rv>
  <rv s="0">
    <fb>1.2568999999999999</fb>
    <v>2</v>
  </rv>
  <rv s="0">
    <fb>1.2533000000000001</fb>
    <v>2</v>
  </rv>
  <rv s="0">
    <fb>1.2542</fb>
    <v>2</v>
  </rv>
  <rv s="0">
    <fb>1.2579</fb>
    <v>2</v>
  </rv>
  <rv s="0">
    <fb>1.2551000000000001</fb>
    <v>2</v>
  </rv>
  <rv s="0">
    <fb>1.2511000000000001</fb>
    <v>2</v>
  </rv>
  <rv s="0">
    <fb>1.2517</fb>
    <v>2</v>
  </rv>
  <rv s="0">
    <fb>1.238</fb>
    <v>2</v>
  </rv>
  <rv s="0">
    <fb>1.242</fb>
    <v>2</v>
  </rv>
  <rv s="0">
    <fb>1.2473000000000001</fb>
    <v>2</v>
  </rv>
  <rv s="0">
    <fb>1.2362</fb>
    <v>2</v>
  </rv>
  <rv s="0">
    <fb>1.2303999999999999</fb>
    <v>2</v>
  </rv>
  <rv s="0">
    <fb>1.2203999999999999</fb>
    <v>2</v>
  </rv>
  <rv s="0">
    <fb>1.22</fb>
    <v>2</v>
  </rv>
  <rv s="0">
    <fb>1.2215</fb>
    <v>2</v>
  </rv>
  <rv s="0">
    <fb>1.224</fb>
    <v>2</v>
  </rv>
  <rv s="0">
    <fb>1.2239</fb>
    <v>2</v>
  </rv>
  <rv s="0">
    <fb>1.2162999999999999</fb>
    <v>2</v>
  </rv>
  <rv s="0">
    <fb>1.2323</fb>
    <v>2</v>
  </rv>
  <rv s="0">
    <fb>1.2354000000000001</fb>
    <v>2</v>
  </rv>
  <rv s="0">
    <fb>1.2316</fb>
    <v>2</v>
  </rv>
  <rv s="0">
    <fb>1.2352000000000001</fb>
    <v>2</v>
  </rv>
  <rv s="0">
    <fb>1.2479</fb>
    <v>2</v>
  </rv>
  <rv s="0">
    <fb>1.2441</fb>
    <v>2</v>
  </rv>
  <rv s="0">
    <fb>1.2446999999999999</fb>
    <v>2</v>
  </rv>
  <rv s="0">
    <fb>1.2415</fb>
    <v>2</v>
  </rv>
  <rv s="0">
    <fb>1.2390000000000001</fb>
    <v>2</v>
  </rv>
  <rv s="0">
    <fb>1.2505999999999999</fb>
    <v>2</v>
  </rv>
  <rv s="0">
    <fb>1.2434000000000001</fb>
    <v>2</v>
  </rv>
  <rv s="0">
    <fb>1.2408999999999999</fb>
    <v>2</v>
  </rv>
  <rv s="0">
    <fb>1.2365999999999999</fb>
    <v>2</v>
  </rv>
  <rv s="0">
    <fb>1.2443</fb>
    <v>2</v>
  </rv>
  <rv s="0">
    <fb>1.2442</fb>
    <v>2</v>
  </rv>
  <rv s="0">
    <fb>1.2585</fb>
    <v>2</v>
  </rv>
  <rv s="0">
    <fb>1.2611000000000001</fb>
    <v>2</v>
  </rv>
  <rv s="0">
    <fb>1.2667999999999999</fb>
    <v>2</v>
  </rv>
  <rv s="0">
    <fb>1.2624</fb>
    <v>2</v>
  </rv>
  <rv s="1">
    <v>3</v>
    <v>GBPUSD</v>
    <v>Daily</v>
    <v>45357</v>
    <v>45714</v>
    <v>0</v>
    <v>1</v>
    <v>638759520000000000,638761002416296270,0</v>
    <v>0</v>
    <v>avyjhw</v>
    <v>GBPUSD</v>
    <v>1</v>
  </rv>
  <rv s="1">
    <v>4</v>
    <v>USDJPY</v>
    <v>Daily</v>
    <v>45357</v>
    <v>45714</v>
    <v>0</v>
    <v>1</v>
    <v>638759520000000000,638761002417073859,0</v>
    <v>0</v>
    <v>avyomw</v>
    <v>USDJPY</v>
    <v>2</v>
  </rv>
  <rv s="1">
    <v>4</v>
    <v>SGDJPY</v>
    <v>Daily</v>
    <v>45357</v>
    <v>45714</v>
    <v>0</v>
    <v>1</v>
    <v>638759520000000000,638761002416675812,0</v>
    <v>0</v>
    <v>avt8m7</v>
    <v>SGDJPY</v>
    <v>3</v>
  </rv>
  <rv s="1">
    <v>3</v>
    <v>EURUSD</v>
    <v>Daily</v>
    <v>45357</v>
    <v>45714</v>
    <v>0</v>
    <v>1</v>
    <v>638759520000000000,638761002417451383,0</v>
    <v>0</v>
    <v>av932w</v>
    <v>EURUSD</v>
    <v>4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5">
    <spb s="0">
      <v>1</v>
    </spb>
    <spb s="0">
      <v>2</v>
    </spb>
    <spb s="0">
      <v>3</v>
    </spb>
    <spb s="1">
      <v>1</v>
      <v>3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_-[$¥-ja-JP]* #,##0.00_-;-[$¥-ja-JP]* #,##0.00_-;_-[$¥-ja-JP]* "-"??_-;_-@_-</rpv>
    </rSty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5A924125-D21D-43E6-BF5B-76267874832C}" name="nineZero" displayName="nineZero" ref="A1:E91" totalsRowShown="0">
  <autoFilter ref="A1:E91" xr:uid="{5A924125-D21D-43E6-BF5B-76267874832C}"/>
  <tableColumns count="5">
    <tableColumn id="1" xr3:uid="{87EA5015-CDE2-4A2C-88E6-7FC1BA63CBB3}" name="Date" dataDxfId="21"/>
    <tableColumn id="2" xr3:uid="{044E293C-4210-401F-9711-6824DD7A4124}" name="USDJPY" dataDxfId="20">
      <calculatedColumnFormula>_xlfn.XLOOKUP(nineZero[[#This Row],[Date]],USDJPY[Date],USDJPY[Change %])</calculatedColumnFormula>
    </tableColumn>
    <tableColumn id="3" xr3:uid="{1C1205B4-14BC-40EC-B1EC-F1D26E82DE4F}" name="EURUSD" dataDxfId="19">
      <calculatedColumnFormula>_xlfn.XLOOKUP(nineZero[[#This Row],[Date]],EURUSD[Date],EURUSD[Change %])</calculatedColumnFormula>
    </tableColumn>
    <tableColumn id="4" xr3:uid="{972A6113-46B2-4E76-B9C5-AB0EAFE7A304}" name="SGDJPY" dataDxfId="18">
      <calculatedColumnFormula>_xlfn.XLOOKUP(nineZero[[#This Row],[Date]],SGDJPY[Date],SGDJPY[Change %])</calculatedColumnFormula>
    </tableColumn>
    <tableColumn id="5" xr3:uid="{1D8D5809-FE64-4878-99C1-65C100A054CF}" name="GBPUSD" dataDxfId="17">
      <calculatedColumnFormula>_xlfn.XLOOKUP(nineZero[[#This Row],[Date]],GBPUSD[Date],GBPUSD[Change %])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B5A3F3A-1BB8-42FE-9E79-CA80A21A3736}" name="twoFiveTwo" displayName="twoFiveTwo" ref="A1:E253" totalsRowShown="0">
  <autoFilter ref="A1:E253" xr:uid="{DB5A3F3A-1BB8-42FE-9E79-CA80A21A3736}"/>
  <tableColumns count="5">
    <tableColumn id="1" xr3:uid="{9A314DB5-5D92-4AE8-A61B-8986F69CC842}" name="Date" dataDxfId="16"/>
    <tableColumn id="2" xr3:uid="{4E160517-8690-4B04-91D4-ED015DA50BC2}" name="USDJPY" dataDxfId="15">
      <calculatedColumnFormula>_xlfn.XLOOKUP(twoFiveTwo[[#This Row],[Date]],USDJPY[Date],USDJPY[Change %])</calculatedColumnFormula>
    </tableColumn>
    <tableColumn id="3" xr3:uid="{06760C42-D58F-4D05-B3D8-7FEEAF19F532}" name="EURUSD" dataDxfId="14">
      <calculatedColumnFormula>_xlfn.XLOOKUP(twoFiveTwo[[#This Row],[Date]],EURUSD[Date],EURUSD[Change %])</calculatedColumnFormula>
    </tableColumn>
    <tableColumn id="4" xr3:uid="{D4AD9387-C2FD-4F6D-834A-06D833F644F1}" name="SGDJPY" dataDxfId="13">
      <calculatedColumnFormula>_xlfn.XLOOKUP(twoFiveTwo[[#This Row],[Date]],SGDJPY[Date],SGDJPY[Change %])</calculatedColumnFormula>
    </tableColumn>
    <tableColumn id="5" xr3:uid="{C495BCE1-6265-4BB3-989C-5CCCA00E3C6A}" name="GBPUSD" dataDxfId="12">
      <calculatedColumnFormula>_xlfn.XLOOKUP(twoFiveTwo[[#This Row],[Date]],GBPUSD[Date],GBPUSD[Change %])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FFC99F-5BDA-4881-8FB4-CF969F80BF79}" name="USDJPY" displayName="USDJPY" ref="G1:I256" totalsRowShown="0">
  <autoFilter ref="G1:I256" xr:uid="{A8FFC99F-5BDA-4881-8FB4-CF969F80BF79}"/>
  <tableColumns count="3">
    <tableColumn id="1" xr3:uid="{74F93943-02BC-44BE-9566-2E3846D53564}" name="Date" dataDxfId="11"/>
    <tableColumn id="2" xr3:uid="{69580931-1EBE-4473-8873-931A005B38C5}" name="Price" dataDxfId="10"/>
    <tableColumn id="3" xr3:uid="{07D3ED55-822A-4C54-A0C3-F5D0A0A4B997}" name="Change %" dataDxfId="9">
      <calculatedColumnFormula>(USDJPY[[#This Row],[Price]]-OFFSET(USDJPY[[#This Row],[Price]],-1,0))/OFFSET(USDJPY[[#This Row],[Price]],-1,0)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3D228FE-4E38-438E-A1A2-165D504434EA}" name="EURUSD" displayName="EURUSD" ref="G1:I256" totalsRowShown="0">
  <autoFilter ref="G1:I256" xr:uid="{73D228FE-4E38-438E-A1A2-165D504434EA}"/>
  <tableColumns count="3">
    <tableColumn id="1" xr3:uid="{22F5C829-40BE-4D91-AA53-D275E53BE9A5}" name="Date" dataDxfId="8"/>
    <tableColumn id="2" xr3:uid="{594AB451-F0F3-4D90-9316-4415782C8790}" name="Price" dataDxfId="7"/>
    <tableColumn id="3" xr3:uid="{7CD93F66-139B-4A8B-BF17-18A6E2DA42F9}" name="Change %" dataDxfId="6">
      <calculatedColumnFormula>(EURUSD[[#This Row],[Price]]-OFFSET(EURUSD[[#This Row],[Price]],-1,0))/OFFSET(EURUSD[[#This Row],[Price]],-1,0)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A9E1628D-D18F-4809-932B-EF7F1DBF4AA7}" name="SGDJPY" displayName="SGDJPY" ref="G1:I256" totalsRowShown="0">
  <autoFilter ref="G1:I256" xr:uid="{A9E1628D-D18F-4809-932B-EF7F1DBF4AA7}"/>
  <tableColumns count="3">
    <tableColumn id="1" xr3:uid="{BC6E6B31-7AD8-4A31-9496-E3260AA03144}" name="Date" dataDxfId="5"/>
    <tableColumn id="2" xr3:uid="{F48D7FB1-74AC-481B-ADBC-54588C49A727}" name="Price" dataDxfId="4"/>
    <tableColumn id="3" xr3:uid="{1FD300D8-F58D-46E8-ABD7-070664585863}" name="Change %" dataDxfId="3">
      <calculatedColumnFormula>(SGDJPY[[#This Row],[Price]]-OFFSET(SGDJPY[[#This Row],[Price]],-1,0))/OFFSET(SGDJPY[[#This Row],[Price]],-1,0)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91F52F1-CB3E-4AB5-B1A1-E434E9CE93F8}" name="GBPUSD" displayName="GBPUSD" ref="G1:I256" totalsRowShown="0">
  <autoFilter ref="G1:I256" xr:uid="{491F52F1-CB3E-4AB5-B1A1-E434E9CE93F8}"/>
  <tableColumns count="3">
    <tableColumn id="1" xr3:uid="{A0D35CDC-3ED1-4811-B78E-4892F4A65D1D}" name="Date" dataDxfId="2"/>
    <tableColumn id="2" xr3:uid="{F99CECA8-CBCC-4ED8-9973-E71964DD4B3A}" name="Price" dataDxfId="1"/>
    <tableColumn id="3" xr3:uid="{5CE7DA86-792F-464D-B0A2-39E1C8D8F57C}" name="Change %" dataDxfId="0">
      <calculatedColumnFormula>(GBPUSD[[#This Row],[Price]]-OFFSET(GBPUSD[[#This Row],[Price]],-1,0))/OFFSET(GBPUSD[[#This Row],[Price]],-1,0)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zoomScale="115" zoomScaleNormal="115" workbookViewId="0">
      <selection activeCell="F18" sqref="F18"/>
    </sheetView>
  </sheetViews>
  <sheetFormatPr defaultRowHeight="14.5" x14ac:dyDescent="0.35"/>
  <cols>
    <col min="1" max="1" width="15.453125" bestFit="1" customWidth="1"/>
    <col min="3" max="3" width="25.6328125" bestFit="1" customWidth="1"/>
  </cols>
  <sheetData>
    <row r="1" spans="1:7" x14ac:dyDescent="0.35">
      <c r="A1" t="s">
        <v>3</v>
      </c>
      <c r="B1" t="s">
        <v>14</v>
      </c>
    </row>
    <row r="2" spans="1:7" x14ac:dyDescent="0.35">
      <c r="A2" t="s">
        <v>4</v>
      </c>
      <c r="B2" s="7">
        <v>1</v>
      </c>
      <c r="F2" s="7"/>
      <c r="G2" s="7"/>
    </row>
    <row r="3" spans="1:7" x14ac:dyDescent="0.35">
      <c r="A3" t="s">
        <v>5</v>
      </c>
      <c r="B3" s="7">
        <v>0</v>
      </c>
      <c r="F3" s="7"/>
      <c r="G3" s="7"/>
    </row>
    <row r="4" spans="1:7" x14ac:dyDescent="0.35">
      <c r="A4" t="s">
        <v>30</v>
      </c>
      <c r="B4" s="7">
        <v>0</v>
      </c>
      <c r="F4" s="7"/>
      <c r="G4" s="7"/>
    </row>
    <row r="5" spans="1:7" x14ac:dyDescent="0.35">
      <c r="A5" t="s">
        <v>31</v>
      </c>
      <c r="B5" s="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tockhistory">
                <anchor moveWithCells="1" sizeWithCells="1">
                  <from>
                    <xdr:col>2</xdr:col>
                    <xdr:colOff>203200</xdr:colOff>
                    <xdr:row>0</xdr:row>
                    <xdr:rowOff>127000</xdr:rowOff>
                  </from>
                  <to>
                    <xdr:col>2</xdr:col>
                    <xdr:colOff>1574800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lNumbers">
                <anchor moveWithCells="1" sizeWithCells="1">
                  <from>
                    <xdr:col>2</xdr:col>
                    <xdr:colOff>203200</xdr:colOff>
                    <xdr:row>3</xdr:row>
                    <xdr:rowOff>146050</xdr:rowOff>
                  </from>
                  <to>
                    <xdr:col>2</xdr:col>
                    <xdr:colOff>1574800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nerateReport252">
                <anchor moveWithCells="1" sizeWithCells="1">
                  <from>
                    <xdr:col>2</xdr:col>
                    <xdr:colOff>203200</xdr:colOff>
                    <xdr:row>6</xdr:row>
                    <xdr:rowOff>171450</xdr:rowOff>
                  </from>
                  <to>
                    <xdr:col>2</xdr:col>
                    <xdr:colOff>1574800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OtherSheets">
                <anchor moveWithCells="1" sizeWithCells="1">
                  <from>
                    <xdr:col>2</xdr:col>
                    <xdr:colOff>203200</xdr:colOff>
                    <xdr:row>13</xdr:row>
                    <xdr:rowOff>31750</xdr:rowOff>
                  </from>
                  <to>
                    <xdr:col>2</xdr:col>
                    <xdr:colOff>1574800</xdr:colOff>
                    <xdr:row>15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generateReport90">
                <anchor moveWithCells="1" sizeWithCells="1">
                  <from>
                    <xdr:col>2</xdr:col>
                    <xdr:colOff>203200</xdr:colOff>
                    <xdr:row>10</xdr:row>
                    <xdr:rowOff>12700</xdr:rowOff>
                  </from>
                  <to>
                    <xdr:col>2</xdr:col>
                    <xdr:colOff>1574800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03073-04C5-4FA1-8DE0-E0A84A8C0338}">
  <sheetPr codeName="Sheet61"/>
  <dimension ref="A1:O2540"/>
  <sheetViews>
    <sheetView workbookViewId="0">
      <selection activeCell="A23" sqref="A23"/>
    </sheetView>
  </sheetViews>
  <sheetFormatPr defaultRowHeight="14.5" x14ac:dyDescent="0.35"/>
  <cols>
    <col min="1" max="1" width="10.26953125" customWidth="1"/>
    <col min="7" max="7" width="25.26953125" bestFit="1" customWidth="1"/>
    <col min="8" max="8" width="12.54296875" bestFit="1" customWidth="1"/>
    <col min="9" max="13" width="9.453125" bestFit="1" customWidth="1"/>
    <col min="15" max="15" width="10.7265625" bestFit="1" customWidth="1"/>
  </cols>
  <sheetData>
    <row r="1" spans="1:15" x14ac:dyDescent="0.35">
      <c r="A1" t="s">
        <v>6</v>
      </c>
      <c r="B1" t="s">
        <v>4</v>
      </c>
      <c r="C1" t="s">
        <v>5</v>
      </c>
      <c r="D1" t="s">
        <v>30</v>
      </c>
      <c r="E1" t="s">
        <v>31</v>
      </c>
      <c r="H1" t="s">
        <v>4</v>
      </c>
      <c r="I1" t="s">
        <v>5</v>
      </c>
      <c r="J1" t="s">
        <v>30</v>
      </c>
      <c r="K1" t="s">
        <v>31</v>
      </c>
    </row>
    <row r="2" spans="1:15" x14ac:dyDescent="0.35">
      <c r="A2" s="1" vm="1">
        <v>45499</v>
      </c>
      <c r="B2" s="5">
        <f ca="1">_xlfn.XLOOKUP(nineZero[[#This Row],[Date]],USDJPY[Date],USDJPY[Change %])</f>
        <v>-1.3642564802183327E-3</v>
      </c>
      <c r="C2" s="5">
        <f ca="1">_xlfn.XLOOKUP(nineZero[[#This Row],[Date]],EURUSD[Date],EURUSD[Change %])</f>
        <v>1.1988196237551446E-3</v>
      </c>
      <c r="D2" s="5">
        <f ca="1">_xlfn.XLOOKUP(nineZero[[#This Row],[Date]],SGDJPY[Date],SGDJPY[Change %])</f>
        <v>-9.1811656938596683E-4</v>
      </c>
      <c r="E2" s="5">
        <f ca="1">_xlfn.XLOOKUP(nineZero[[#This Row],[Date]],GBPUSD[Date],GBPUSD[Change %])</f>
        <v>1.6341140767255396E-3</v>
      </c>
      <c r="G2" t="s">
        <v>15</v>
      </c>
      <c r="H2" s="6">
        <f ca="1">AVERAGE(nineZero[USDJPY])</f>
        <v>-1.4196796290798068E-4</v>
      </c>
      <c r="I2" s="6">
        <f ca="1">AVERAGE(nineZero[EURUSD])</f>
        <v>-2.9288629453233403E-4</v>
      </c>
      <c r="J2" s="6">
        <f ca="1">AVERAGE(nineZero[SGDJPY])</f>
        <v>-1.5175542241235615E-4</v>
      </c>
      <c r="K2" s="6">
        <f ca="1">AVERAGE(nineZero[GBPUSD])</f>
        <v>-1.3274217546112665E-4</v>
      </c>
    </row>
    <row r="3" spans="1:15" x14ac:dyDescent="0.35">
      <c r="A3" s="1" vm="2">
        <v>45502</v>
      </c>
      <c r="B3" s="5">
        <f ca="1">_xlfn.XLOOKUP(nineZero[[#This Row],[Date]],USDJPY[Date],USDJPY[Change %])</f>
        <v>1.8865469685141298E-3</v>
      </c>
      <c r="C3" s="5">
        <f ca="1">_xlfn.XLOOKUP(nineZero[[#This Row],[Date]],EURUSD[Date],EURUSD[Change %])</f>
        <v>-3.500046053237566E-3</v>
      </c>
      <c r="D3" s="5">
        <f ca="1">_xlfn.XLOOKUP(nineZero[[#This Row],[Date]],SGDJPY[Date],SGDJPY[Change %])</f>
        <v>1.3644638408346671E-3</v>
      </c>
      <c r="E3" s="5">
        <f ca="1">_xlfn.XLOOKUP(nineZero[[#This Row],[Date]],GBPUSD[Date],GBPUSD[Change %])</f>
        <v>-1.0099440646363089E-3</v>
      </c>
      <c r="G3" t="s">
        <v>11</v>
      </c>
      <c r="H3" s="6">
        <f ca="1">_xlfn.STDEV.S(nineZero[USDJPY])</f>
        <v>8.0291744399637825E-3</v>
      </c>
      <c r="I3" s="6">
        <f ca="1">_xlfn.STDEV.S(nineZero[EURUSD])</f>
        <v>4.335730979978524E-3</v>
      </c>
      <c r="J3" s="6">
        <f ca="1">_xlfn.STDEV.S(nineZero[SGDJPY])</f>
        <v>6.0250343254258923E-3</v>
      </c>
      <c r="K3" s="6">
        <f ca="1">_xlfn.STDEV.S(nineZero[GBPUSD])</f>
        <v>4.4858251835634792E-3</v>
      </c>
    </row>
    <row r="4" spans="1:15" x14ac:dyDescent="0.35">
      <c r="A4" s="1" vm="3">
        <v>45503</v>
      </c>
      <c r="B4" s="5">
        <f ca="1">_xlfn.XLOOKUP(nineZero[[#This Row],[Date]],USDJPY[Date],USDJPY[Change %])</f>
        <v>-8.116356080773976E-3</v>
      </c>
      <c r="C4" s="5">
        <f ca="1">_xlfn.XLOOKUP(nineZero[[#This Row],[Date]],EURUSD[Date],EURUSD[Change %])</f>
        <v>-3.697199371477752E-4</v>
      </c>
      <c r="D4" s="5">
        <f ca="1">_xlfn.XLOOKUP(nineZero[[#This Row],[Date]],SGDJPY[Date],SGDJPY[Change %])</f>
        <v>-7.3032815915779845E-3</v>
      </c>
      <c r="E4" s="5">
        <f ca="1">_xlfn.XLOOKUP(nineZero[[#This Row],[Date]],GBPUSD[Date],GBPUSD[Change %])</f>
        <v>-1.9441636208102858E-3</v>
      </c>
      <c r="G4" t="s">
        <v>16</v>
      </c>
      <c r="H4" s="6">
        <f ca="1">_xlfn.VAR.S(nineZero[USDJPY])</f>
        <v>6.4467642187367714E-5</v>
      </c>
      <c r="I4" s="6">
        <f ca="1">_xlfn.VAR.S(nineZero[EURUSD])</f>
        <v>1.8798563130745531E-5</v>
      </c>
      <c r="J4" s="6">
        <f ca="1">_xlfn.VAR.S(nineZero[SGDJPY])</f>
        <v>3.6301038622560232E-5</v>
      </c>
      <c r="K4" s="6">
        <f ca="1">_xlfn.VAR.S(nineZero[GBPUSD])</f>
        <v>2.0122627577492325E-5</v>
      </c>
    </row>
    <row r="5" spans="1:15" x14ac:dyDescent="0.35">
      <c r="A5" s="1" vm="4">
        <v>45504</v>
      </c>
      <c r="B5" s="5">
        <f ca="1">_xlfn.XLOOKUP(nineZero[[#This Row],[Date]],USDJPY[Date],USDJPY[Change %])</f>
        <v>-1.8198481277821428E-2</v>
      </c>
      <c r="C5" s="5">
        <f ca="1">_xlfn.XLOOKUP(nineZero[[#This Row],[Date]],EURUSD[Date],EURUSD[Change %])</f>
        <v>9.2464170134083407E-4</v>
      </c>
      <c r="D5" s="5">
        <f ca="1">_xlfn.XLOOKUP(nineZero[[#This Row],[Date]],SGDJPY[Date],SGDJPY[Change %])</f>
        <v>-1.3716626741490523E-2</v>
      </c>
      <c r="E5" s="5">
        <f ca="1">_xlfn.XLOOKUP(nineZero[[#This Row],[Date]],GBPUSD[Date],GBPUSD[Change %])</f>
        <v>1.7141966651082901E-3</v>
      </c>
    </row>
    <row r="6" spans="1:15" x14ac:dyDescent="0.35">
      <c r="A6" s="1" vm="5">
        <v>45505</v>
      </c>
      <c r="B6" s="5">
        <f ca="1">_xlfn.XLOOKUP(nineZero[[#This Row],[Date]],USDJPY[Date],USDJPY[Change %])</f>
        <v>-4.133884517935566E-3</v>
      </c>
      <c r="C6" s="5">
        <f ca="1">_xlfn.XLOOKUP(nineZero[[#This Row],[Date]],EURUSD[Date],EURUSD[Change %])</f>
        <v>-3.1408775981524892E-3</v>
      </c>
      <c r="D6" s="5">
        <f ca="1">_xlfn.XLOOKUP(nineZero[[#This Row],[Date]],SGDJPY[Date],SGDJPY[Change %])</f>
        <v>-4.5066035373896949E-3</v>
      </c>
      <c r="E6" s="5">
        <f ca="1">_xlfn.XLOOKUP(nineZero[[#This Row],[Date]],GBPUSD[Date],GBPUSD[Change %])</f>
        <v>-9.1008089607965484E-3</v>
      </c>
      <c r="H6" t="s">
        <v>4</v>
      </c>
      <c r="I6" t="s">
        <v>5</v>
      </c>
      <c r="J6" t="s">
        <v>30</v>
      </c>
      <c r="K6" t="s">
        <v>31</v>
      </c>
      <c r="M6" t="s">
        <v>15</v>
      </c>
      <c r="O6" t="s">
        <v>32</v>
      </c>
    </row>
    <row r="7" spans="1:15" x14ac:dyDescent="0.35">
      <c r="A7" s="1" vm="6">
        <v>45506</v>
      </c>
      <c r="B7" s="5">
        <f ca="1">_xlfn.XLOOKUP(nineZero[[#This Row],[Date]],USDJPY[Date],USDJPY[Change %])</f>
        <v>-1.8880557043385253E-2</v>
      </c>
      <c r="C7" s="5">
        <f ca="1">_xlfn.XLOOKUP(nineZero[[#This Row],[Date]],EURUSD[Date],EURUSD[Change %])</f>
        <v>1.0842368640533818E-2</v>
      </c>
      <c r="D7" s="5">
        <f ca="1">_xlfn.XLOOKUP(nineZero[[#This Row],[Date]],SGDJPY[Date],SGDJPY[Change %])</f>
        <v>-1.1560062472310379E-2</v>
      </c>
      <c r="E7" s="5">
        <f ca="1">_xlfn.XLOOKUP(nineZero[[#This Row],[Date]],GBPUSD[Date],GBPUSD[Change %])</f>
        <v>4.6314467383625213E-3</v>
      </c>
      <c r="G7" t="s">
        <v>4</v>
      </c>
      <c r="H7" s="6">
        <f ca="1">_xlfn.COVARIANCE.S(nineZero[USDJPY],nineZero[USDJPY])</f>
        <v>6.4467642187367687E-5</v>
      </c>
      <c r="I7" s="6">
        <f ca="1">_xlfn.COVARIANCE.S(nineZero[USDJPY],nineZero[EURUSD])</f>
        <v>-1.9859180228452341E-5</v>
      </c>
      <c r="J7" s="6">
        <f ca="1">_xlfn.COVARIANCE.S(nineZero[USDJPY],nineZero[SGDJPY])</f>
        <v>4.3948294963563753E-5</v>
      </c>
      <c r="K7" s="6">
        <f ca="1">_xlfn.COVARIANCE.S(nineZero[USDJPY],nineZero[GBPUSD])</f>
        <v>-1.2754954815959286E-5</v>
      </c>
      <c r="M7" s="6" cm="1">
        <f t="array" aca="1" ref="M7:M10" ca="1">TRANSPOSE(H2:K2)</f>
        <v>-1.4196796290798068E-4</v>
      </c>
      <c r="O7" s="7">
        <v>1</v>
      </c>
    </row>
    <row r="8" spans="1:15" x14ac:dyDescent="0.35">
      <c r="A8" s="1" vm="7">
        <v>45509</v>
      </c>
      <c r="B8" s="5">
        <f ca="1">_xlfn.XLOOKUP(nineZero[[#This Row],[Date]],USDJPY[Date],USDJPY[Change %])</f>
        <v>-1.617305855056643E-2</v>
      </c>
      <c r="C8" s="5">
        <f ca="1">_xlfn.XLOOKUP(nineZero[[#This Row],[Date]],EURUSD[Date],EURUSD[Change %])</f>
        <v>4.0337367070039966E-3</v>
      </c>
      <c r="D8" s="5">
        <f ca="1">_xlfn.XLOOKUP(nineZero[[#This Row],[Date]],SGDJPY[Date],SGDJPY[Change %])</f>
        <v>-1.4911547575605829E-2</v>
      </c>
      <c r="E8" s="5">
        <f ca="1">_xlfn.XLOOKUP(nineZero[[#This Row],[Date]],GBPUSD[Date],GBPUSD[Change %])</f>
        <v>-1.9534302234723759E-3</v>
      </c>
      <c r="G8" t="s">
        <v>5</v>
      </c>
      <c r="H8" s="6">
        <f ca="1">_xlfn.COVARIANCE.S(nineZero[EURUSD],nineZero[USDJPY])</f>
        <v>-1.9859180228452341E-5</v>
      </c>
      <c r="I8" s="6">
        <f ca="1">_xlfn.COVARIANCE.S(nineZero[EURUSD],nineZero[EURUSD])</f>
        <v>1.8798563130745534E-5</v>
      </c>
      <c r="J8" s="6">
        <f ca="1">_xlfn.COVARIANCE.S(nineZero[EURUSD],nineZero[SGDJPY])</f>
        <v>-6.3072952600989842E-6</v>
      </c>
      <c r="K8" s="6">
        <f ca="1">_xlfn.COVARIANCE.S(nineZero[EURUSD],nineZero[GBPUSD])</f>
        <v>1.4491158891732778E-5</v>
      </c>
      <c r="M8" s="6">
        <f ca="1"/>
        <v>-2.9288629453233403E-4</v>
      </c>
      <c r="O8" s="7">
        <v>0</v>
      </c>
    </row>
    <row r="9" spans="1:15" x14ac:dyDescent="0.35">
      <c r="A9" s="1" vm="8">
        <v>45510</v>
      </c>
      <c r="B9" s="5">
        <f ca="1">_xlfn.XLOOKUP(nineZero[[#This Row],[Date]],USDJPY[Date],USDJPY[Change %])</f>
        <v>9.0171325518501684E-4</v>
      </c>
      <c r="C9" s="5">
        <f ca="1">_xlfn.XLOOKUP(nineZero[[#This Row],[Date]],EURUSD[Date],EURUSD[Change %])</f>
        <v>-2.0087655222790174E-3</v>
      </c>
      <c r="D9" s="5">
        <f ca="1">_xlfn.XLOOKUP(nineZero[[#This Row],[Date]],SGDJPY[Date],SGDJPY[Change %])</f>
        <v>5.2485911071774695E-4</v>
      </c>
      <c r="E9" s="5">
        <f ca="1">_xlfn.XLOOKUP(nineZero[[#This Row],[Date]],GBPUSD[Date],GBPUSD[Change %])</f>
        <v>-6.576372034760968E-3</v>
      </c>
      <c r="G9" t="s">
        <v>30</v>
      </c>
      <c r="H9" s="6">
        <f ca="1">_xlfn.COVARIANCE.S(nineZero[SGDJPY],nineZero[USDJPY])</f>
        <v>4.3948294963563753E-5</v>
      </c>
      <c r="I9" s="6">
        <f ca="1">_xlfn.COVARIANCE.S(nineZero[SGDJPY],nineZero[EURUSD])</f>
        <v>-6.3072952600989842E-6</v>
      </c>
      <c r="J9" s="6">
        <f ca="1">_xlfn.COVARIANCE.S(nineZero[SGDJPY],nineZero[SGDJPY])</f>
        <v>3.6301038622560252E-5</v>
      </c>
      <c r="K9" s="6">
        <f ca="1">_xlfn.COVARIANCE.S(nineZero[SGDJPY],nineZero[GBPUSD])</f>
        <v>-1.2146006765773369E-6</v>
      </c>
      <c r="M9" s="6">
        <f ca="1"/>
        <v>-1.5175542241235615E-4</v>
      </c>
      <c r="O9" s="7">
        <v>0</v>
      </c>
    </row>
    <row r="10" spans="1:15" x14ac:dyDescent="0.35">
      <c r="A10" s="1" vm="9">
        <v>45511</v>
      </c>
      <c r="B10" s="5">
        <f ca="1">_xlfn.XLOOKUP(nineZero[[#This Row],[Date]],USDJPY[Date],USDJPY[Change %])</f>
        <v>1.6562716562716465E-2</v>
      </c>
      <c r="C10" s="5">
        <f ca="1">_xlfn.XLOOKUP(nineZero[[#This Row],[Date]],EURUSD[Date],EURUSD[Change %])</f>
        <v>-8.2342177493129087E-4</v>
      </c>
      <c r="D10" s="5">
        <f ca="1">_xlfn.XLOOKUP(nineZero[[#This Row],[Date]],SGDJPY[Date],SGDJPY[Change %])</f>
        <v>1.4954771874959746E-2</v>
      </c>
      <c r="E10" s="5">
        <f ca="1">_xlfn.XLOOKUP(nineZero[[#This Row],[Date]],GBPUSD[Date],GBPUSD[Change %])</f>
        <v>1.5761683347779808E-4</v>
      </c>
      <c r="G10" t="s">
        <v>31</v>
      </c>
      <c r="H10" s="6">
        <f ca="1">_xlfn.COVARIANCE.S(nineZero[GBPUSD],nineZero[USDJPY])</f>
        <v>-1.2754954815959286E-5</v>
      </c>
      <c r="I10" s="6">
        <f ca="1">_xlfn.COVARIANCE.S(nineZero[GBPUSD],nineZero[EURUSD])</f>
        <v>1.4491158891732778E-5</v>
      </c>
      <c r="J10" s="6">
        <f ca="1">_xlfn.COVARIANCE.S(nineZero[GBPUSD],nineZero[SGDJPY])</f>
        <v>-1.2146006765773369E-6</v>
      </c>
      <c r="K10" s="6">
        <f ca="1">_xlfn.COVARIANCE.S(nineZero[GBPUSD],nineZero[GBPUSD])</f>
        <v>2.0122627577492318E-5</v>
      </c>
      <c r="M10" s="6">
        <f ca="1"/>
        <v>-1.3274217546112665E-4</v>
      </c>
      <c r="O10" s="7">
        <v>0</v>
      </c>
    </row>
    <row r="11" spans="1:15" x14ac:dyDescent="0.35">
      <c r="A11" s="1" vm="10">
        <v>45512</v>
      </c>
      <c r="B11" s="5">
        <f ca="1">_xlfn.XLOOKUP(nineZero[[#This Row],[Date]],USDJPY[Date],USDJPY[Change %])</f>
        <v>4.0220873951871527E-3</v>
      </c>
      <c r="C11" s="5">
        <f ca="1">_xlfn.XLOOKUP(nineZero[[#This Row],[Date]],EURUSD[Date],EURUSD[Change %])</f>
        <v>-2.7470011903668796E-4</v>
      </c>
      <c r="D11" s="5">
        <f ca="1">_xlfn.XLOOKUP(nineZero[[#This Row],[Date]],SGDJPY[Date],SGDJPY[Change %])</f>
        <v>5.5360440276620779E-3</v>
      </c>
      <c r="E11" s="5">
        <f ca="1">_xlfn.XLOOKUP(nineZero[[#This Row],[Date]],GBPUSD[Date],GBPUSD[Change %])</f>
        <v>4.4125758411473091E-3</v>
      </c>
    </row>
    <row r="12" spans="1:15" x14ac:dyDescent="0.35">
      <c r="A12" s="1" vm="11">
        <v>45513</v>
      </c>
      <c r="B12" s="5">
        <f ca="1">_xlfn.XLOOKUP(nineZero[[#This Row],[Date]],USDJPY[Date],USDJPY[Change %])</f>
        <v>-4.5491580662682472E-3</v>
      </c>
      <c r="C12" s="5">
        <f ca="1">_xlfn.XLOOKUP(nineZero[[#This Row],[Date]],EURUSD[Date],EURUSD[Change %])</f>
        <v>-1.8318373328466751E-4</v>
      </c>
      <c r="D12" s="5">
        <f ca="1">_xlfn.XLOOKUP(nineZero[[#This Row],[Date]],SGDJPY[Date],SGDJPY[Change %])</f>
        <v>-4.0229512564858676E-3</v>
      </c>
      <c r="E12" s="5">
        <f ca="1">_xlfn.XLOOKUP(nineZero[[#This Row],[Date]],GBPUSD[Date],GBPUSD[Change %])</f>
        <v>9.4139797599442218E-4</v>
      </c>
      <c r="G12" s="9" t="s">
        <v>19</v>
      </c>
    </row>
    <row r="13" spans="1:15" x14ac:dyDescent="0.35">
      <c r="A13" s="1" vm="12">
        <v>45516</v>
      </c>
      <c r="B13" s="5">
        <f ca="1">_xlfn.XLOOKUP(nineZero[[#This Row],[Date]],USDJPY[Date],USDJPY[Change %])</f>
        <v>3.9560739376576226E-3</v>
      </c>
      <c r="C13" s="5">
        <f ca="1">_xlfn.XLOOKUP(nineZero[[#This Row],[Date]],EURUSD[Date],EURUSD[Change %])</f>
        <v>1.3741297178454168E-3</v>
      </c>
      <c r="D13" s="5">
        <f ca="1">_xlfn.XLOOKUP(nineZero[[#This Row],[Date]],SGDJPY[Date],SGDJPY[Change %])</f>
        <v>4.0319701520326722E-3</v>
      </c>
      <c r="E13" s="5">
        <f ca="1">_xlfn.XLOOKUP(nineZero[[#This Row],[Date]],GBPUSD[Date],GBPUSD[Change %])</f>
        <v>3.9188024139818551E-4</v>
      </c>
      <c r="G13" t="s">
        <v>20</v>
      </c>
      <c r="H13" s="8">
        <v>1000000</v>
      </c>
    </row>
    <row r="14" spans="1:15" x14ac:dyDescent="0.35">
      <c r="A14" s="1" vm="13">
        <v>45517</v>
      </c>
      <c r="B14" s="5">
        <f ca="1">_xlfn.XLOOKUP(nineZero[[#This Row],[Date]],USDJPY[Date],USDJPY[Change %])</f>
        <v>-2.51375772810656E-3</v>
      </c>
      <c r="C14" s="5">
        <f ca="1">_xlfn.XLOOKUP(nineZero[[#This Row],[Date]],EURUSD[Date],EURUSD[Change %])</f>
        <v>5.5804592443509235E-3</v>
      </c>
      <c r="D14" s="5">
        <f ca="1">_xlfn.XLOOKUP(nineZero[[#This Row],[Date]],SGDJPY[Date],SGDJPY[Change %])</f>
        <v>2.7762074341866542E-3</v>
      </c>
      <c r="E14" s="5">
        <f ca="1">_xlfn.XLOOKUP(nineZero[[#This Row],[Date]],GBPUSD[Date],GBPUSD[Change %])</f>
        <v>7.286117204638112E-3</v>
      </c>
      <c r="G14" t="s">
        <v>21</v>
      </c>
      <c r="H14" s="6">
        <f ca="1">SUMPRODUCT(M7:M10,O7:O10)</f>
        <v>-1.4196796290798068E-4</v>
      </c>
      <c r="L14" s="10"/>
      <c r="O14" s="11"/>
    </row>
    <row r="15" spans="1:15" x14ac:dyDescent="0.35">
      <c r="A15" s="1" vm="14">
        <v>45518</v>
      </c>
      <c r="B15" s="5">
        <f ca="1">_xlfn.XLOOKUP(nineZero[[#This Row],[Date]],USDJPY[Date],USDJPY[Change %])</f>
        <v>3.3374199700313928E-3</v>
      </c>
      <c r="C15" s="5">
        <f ca="1">_xlfn.XLOOKUP(nineZero[[#This Row],[Date]],EURUSD[Date],EURUSD[Change %])</f>
        <v>1.8195050946142666E-3</v>
      </c>
      <c r="D15" s="5">
        <f ca="1">_xlfn.XLOOKUP(nineZero[[#This Row],[Date]],SGDJPY[Date],SGDJPY[Change %])</f>
        <v>4.2596090316278611E-3</v>
      </c>
      <c r="E15" s="5">
        <f ca="1">_xlfn.XLOOKUP(nineZero[[#This Row],[Date]],GBPUSD[Date],GBPUSD[Change %])</f>
        <v>-2.4889165435172216E-3</v>
      </c>
      <c r="G15" t="s">
        <v>22</v>
      </c>
      <c r="H15" s="6" cm="1">
        <f t="array" aca="1" ref="H15" ca="1">SQRT(MMULT(MMULT(TRANSPOSE(O7:O10),H7:K10),O7:O10))</f>
        <v>8.0291744399637807E-3</v>
      </c>
      <c r="L15" s="10"/>
    </row>
    <row r="16" spans="1:15" x14ac:dyDescent="0.35">
      <c r="A16" s="1" vm="15">
        <v>45519</v>
      </c>
      <c r="B16" s="5">
        <f ca="1">_xlfn.XLOOKUP(nineZero[[#This Row],[Date]],USDJPY[Date],USDJPY[Change %])</f>
        <v>1.3305274590998627E-2</v>
      </c>
      <c r="C16" s="5">
        <f ca="1">_xlfn.XLOOKUP(nineZero[[#This Row],[Date]],EURUSD[Date],EURUSD[Change %])</f>
        <v>-3.7232110424990851E-3</v>
      </c>
      <c r="D16" s="5">
        <f ca="1">_xlfn.XLOOKUP(nineZero[[#This Row],[Date]],SGDJPY[Date],SGDJPY[Change %])</f>
        <v>8.6413032304547433E-3</v>
      </c>
      <c r="E16" s="5">
        <f ca="1">_xlfn.XLOOKUP(nineZero[[#This Row],[Date]],GBPUSD[Date],GBPUSD[Change %])</f>
        <v>2.02729044834303E-3</v>
      </c>
      <c r="L16" s="10"/>
    </row>
    <row r="17" spans="1:12" x14ac:dyDescent="0.35">
      <c r="A17" s="1" vm="16">
        <v>45520</v>
      </c>
      <c r="B17" s="5">
        <f ca="1">_xlfn.XLOOKUP(nineZero[[#This Row],[Date]],USDJPY[Date],USDJPY[Change %])</f>
        <v>-1.1321765927513884E-2</v>
      </c>
      <c r="C17" s="5">
        <f ca="1">_xlfn.XLOOKUP(nineZero[[#This Row],[Date]],EURUSD[Date],EURUSD[Change %])</f>
        <v>5.1955154498222935E-3</v>
      </c>
      <c r="D17" s="5">
        <f ca="1">_xlfn.XLOOKUP(nineZero[[#This Row],[Date]],SGDJPY[Date],SGDJPY[Change %])</f>
        <v>-6.0707360390796078E-3</v>
      </c>
      <c r="E17" s="5">
        <f ca="1">_xlfn.XLOOKUP(nineZero[[#This Row],[Date]],GBPUSD[Date],GBPUSD[Change %])</f>
        <v>7.2367909112132029E-3</v>
      </c>
      <c r="G17" s="9" t="s">
        <v>29</v>
      </c>
      <c r="L17" s="10"/>
    </row>
    <row r="18" spans="1:12" x14ac:dyDescent="0.35">
      <c r="A18" s="1" vm="17">
        <v>45523</v>
      </c>
      <c r="B18" s="5">
        <f ca="1">_xlfn.XLOOKUP(nineZero[[#This Row],[Date]],USDJPY[Date],USDJPY[Change %])</f>
        <v>-6.843745765008939E-3</v>
      </c>
      <c r="C18" s="5">
        <f ca="1">_xlfn.XLOOKUP(nineZero[[#This Row],[Date]],EURUSD[Date],EURUSD[Change %])</f>
        <v>5.1686615886833865E-3</v>
      </c>
      <c r="D18" s="5">
        <f ca="1">_xlfn.XLOOKUP(nineZero[[#This Row],[Date]],SGDJPY[Date],SGDJPY[Change %])</f>
        <v>-1.2269129052333895E-3</v>
      </c>
      <c r="E18" s="5">
        <f ca="1">_xlfn.XLOOKUP(nineZero[[#This Row],[Date]],GBPUSD[Date],GBPUSD[Change %])</f>
        <v>3.3992583436340848E-3</v>
      </c>
      <c r="G18" t="s">
        <v>23</v>
      </c>
      <c r="H18" s="7">
        <v>0.95</v>
      </c>
      <c r="L18" s="10"/>
    </row>
    <row r="19" spans="1:12" x14ac:dyDescent="0.35">
      <c r="A19" s="1" vm="18">
        <v>45524</v>
      </c>
      <c r="B19" s="5">
        <f ca="1">_xlfn.XLOOKUP(nineZero[[#This Row],[Date]],USDJPY[Date],USDJPY[Change %])</f>
        <v>-9.0059357303676965E-3</v>
      </c>
      <c r="C19" s="5">
        <f ca="1">_xlfn.XLOOKUP(nineZero[[#This Row],[Date]],EURUSD[Date],EURUSD[Change %])</f>
        <v>4.0595399188091547E-3</v>
      </c>
      <c r="D19" s="5">
        <f ca="1">_xlfn.XLOOKUP(nineZero[[#This Row],[Date]],SGDJPY[Date],SGDJPY[Change %])</f>
        <v>-6.5009847000994615E-3</v>
      </c>
      <c r="E19" s="5">
        <f ca="1">_xlfn.XLOOKUP(nineZero[[#This Row],[Date]],GBPUSD[Date],GBPUSD[Change %])</f>
        <v>3.1567600862334407E-3</v>
      </c>
      <c r="G19" t="s">
        <v>24</v>
      </c>
      <c r="H19" s="8">
        <f ca="1">_xlfn.NORM.INV(1-H18,H14,H15)*H13</f>
        <v>-13348.784661908456</v>
      </c>
      <c r="L19" s="10"/>
    </row>
    <row r="20" spans="1:12" x14ac:dyDescent="0.35">
      <c r="A20" s="1" vm="19">
        <v>45525</v>
      </c>
      <c r="B20" s="5">
        <f ca="1">_xlfn.XLOOKUP(nineZero[[#This Row],[Date]],USDJPY[Date],USDJPY[Change %])</f>
        <v>6.884681583470502E-5</v>
      </c>
      <c r="C20" s="5">
        <f ca="1">_xlfn.XLOOKUP(nineZero[[#This Row],[Date]],EURUSD[Date],EURUSD[Change %])</f>
        <v>1.7969451931716099E-3</v>
      </c>
      <c r="D20" s="5">
        <f ca="1">_xlfn.XLOOKUP(nineZero[[#This Row],[Date]],SGDJPY[Date],SGDJPY[Change %])</f>
        <v>-3.8998756353028093E-4</v>
      </c>
      <c r="E20" s="5">
        <f ca="1">_xlfn.XLOOKUP(nineZero[[#This Row],[Date]],GBPUSD[Date],GBPUSD[Change %])</f>
        <v>4.8353672576559774E-3</v>
      </c>
      <c r="G20" t="s">
        <v>25</v>
      </c>
      <c r="H20" s="8">
        <f ca="1">$H$19*SQRT(LEFT(G20,2))</f>
        <v>-42212.563526751423</v>
      </c>
      <c r="L20" s="10"/>
    </row>
    <row r="21" spans="1:12" x14ac:dyDescent="0.35">
      <c r="A21" s="1" vm="20">
        <v>45526</v>
      </c>
      <c r="B21" s="5">
        <f ca="1">_xlfn.XLOOKUP(nineZero[[#This Row],[Date]],USDJPY[Date],USDJPY[Change %])</f>
        <v>6.8842076277020516E-3</v>
      </c>
      <c r="C21" s="5">
        <f ca="1">_xlfn.XLOOKUP(nineZero[[#This Row],[Date]],EURUSD[Date],EURUSD[Change %])</f>
        <v>-3.4080717488789466E-3</v>
      </c>
      <c r="D21" s="5">
        <f ca="1">_xlfn.XLOOKUP(nineZero[[#This Row],[Date]],SGDJPY[Date],SGDJPY[Change %])</f>
        <v>2.7372705681836967E-3</v>
      </c>
      <c r="E21" s="5">
        <f ca="1">_xlfn.XLOOKUP(nineZero[[#This Row],[Date]],GBPUSD[Date],GBPUSD[Change %])</f>
        <v>-3.0553009471429574E-4</v>
      </c>
      <c r="G21" t="s">
        <v>26</v>
      </c>
      <c r="H21" s="8">
        <f ca="1">$H$19*SQRT(LEFT(G21,2))</f>
        <v>-73114.304746062335</v>
      </c>
      <c r="L21" s="10"/>
    </row>
    <row r="22" spans="1:12" x14ac:dyDescent="0.35">
      <c r="A22" s="1" vm="21">
        <v>45527</v>
      </c>
      <c r="B22" s="5">
        <f ca="1">_xlfn.XLOOKUP(nineZero[[#This Row],[Date]],USDJPY[Date],USDJPY[Change %])</f>
        <v>-1.2922193354300468E-2</v>
      </c>
      <c r="C22" s="5">
        <f ca="1">_xlfn.XLOOKUP(nineZero[[#This Row],[Date]],EURUSD[Date],EURUSD[Change %])</f>
        <v>7.0194384449244326E-3</v>
      </c>
      <c r="D22" s="5">
        <f ca="1">_xlfn.XLOOKUP(nineZero[[#This Row],[Date]],SGDJPY[Date],SGDJPY[Change %])</f>
        <v>-5.336778228311502E-3</v>
      </c>
      <c r="E22" s="5">
        <f ca="1">_xlfn.XLOOKUP(nineZero[[#This Row],[Date]],GBPUSD[Date],GBPUSD[Change %])</f>
        <v>9.245110024449877E-3</v>
      </c>
      <c r="G22" t="s">
        <v>27</v>
      </c>
      <c r="H22" s="8">
        <f ca="1">$H$19*SQRT(LEFT(G22,2))</f>
        <v>-103399.24137536091</v>
      </c>
      <c r="L22" s="10"/>
    </row>
    <row r="23" spans="1:12" x14ac:dyDescent="0.35">
      <c r="A23" s="1" vm="22">
        <v>45530</v>
      </c>
      <c r="B23" s="5">
        <f ca="1">_xlfn.XLOOKUP(nineZero[[#This Row],[Date]],USDJPY[Date],USDJPY[Change %])</f>
        <v>1.0389970215419109E-3</v>
      </c>
      <c r="C23" s="5">
        <f ca="1">_xlfn.XLOOKUP(nineZero[[#This Row],[Date]],EURUSD[Date],EURUSD[Change %])</f>
        <v>-2.5915996425378935E-3</v>
      </c>
      <c r="D23" s="5">
        <f ca="1">_xlfn.XLOOKUP(nineZero[[#This Row],[Date]],SGDJPY[Date],SGDJPY[Change %])</f>
        <v>-1.3402264414870398E-3</v>
      </c>
      <c r="E23" s="5">
        <f ca="1">_xlfn.XLOOKUP(nineZero[[#This Row],[Date]],GBPUSD[Date],GBPUSD[Change %])</f>
        <v>-1.4384132031190953E-3</v>
      </c>
      <c r="G23" t="s">
        <v>28</v>
      </c>
      <c r="H23" s="8">
        <f ca="1">$H$19*SQRT(LEFT(G23,2))</f>
        <v>-126637.69058025426</v>
      </c>
      <c r="L23" s="10"/>
    </row>
    <row r="24" spans="1:12" x14ac:dyDescent="0.35">
      <c r="A24" s="1" vm="23">
        <v>45531</v>
      </c>
      <c r="B24" s="5">
        <f ca="1">_xlfn.XLOOKUP(nineZero[[#This Row],[Date]],USDJPY[Date],USDJPY[Change %])</f>
        <v>-3.9440907832827398E-3</v>
      </c>
      <c r="C24" s="5">
        <f ca="1">_xlfn.XLOOKUP(nineZero[[#This Row],[Date]],EURUSD[Date],EURUSD[Change %])</f>
        <v>2.0607472448705031E-3</v>
      </c>
      <c r="D24" s="5">
        <f ca="1">_xlfn.XLOOKUP(nineZero[[#This Row],[Date]],SGDJPY[Date],SGDJPY[Change %])</f>
        <v>-1.8004976413029687E-3</v>
      </c>
      <c r="E24" s="5">
        <f ca="1">_xlfn.XLOOKUP(nineZero[[#This Row],[Date]],GBPUSD[Date],GBPUSD[Change %])</f>
        <v>4.9279757391963233E-3</v>
      </c>
      <c r="L24" s="10"/>
    </row>
    <row r="25" spans="1:12" x14ac:dyDescent="0.35">
      <c r="A25" s="1" vm="24">
        <v>45532</v>
      </c>
      <c r="B25" s="5">
        <f ca="1">_xlfn.XLOOKUP(nineZero[[#This Row],[Date]],USDJPY[Date],USDJPY[Change %])</f>
        <v>4.3070510593956552E-3</v>
      </c>
      <c r="C25" s="5">
        <f ca="1">_xlfn.XLOOKUP(nineZero[[#This Row],[Date]],EURUSD[Date],EURUSD[Change %])</f>
        <v>-5.722460658082941E-3</v>
      </c>
      <c r="D25" s="5">
        <f ca="1">_xlfn.XLOOKUP(nineZero[[#This Row],[Date]],SGDJPY[Date],SGDJPY[Change %])</f>
        <v>2.7585096995384937E-3</v>
      </c>
      <c r="E25" s="5">
        <f ca="1">_xlfn.XLOOKUP(nineZero[[#This Row],[Date]],GBPUSD[Date],GBPUSD[Change %])</f>
        <v>-4.9038098830629581E-3</v>
      </c>
      <c r="L25" s="10"/>
    </row>
    <row r="26" spans="1:12" x14ac:dyDescent="0.35">
      <c r="A26" s="1" vm="25">
        <v>45533</v>
      </c>
      <c r="B26" s="5">
        <f ca="1">_xlfn.XLOOKUP(nineZero[[#This Row],[Date]],USDJPY[Date],USDJPY[Change %])</f>
        <v>2.8359964031264896E-3</v>
      </c>
      <c r="C26" s="5">
        <f ca="1">_xlfn.XLOOKUP(nineZero[[#This Row],[Date]],EURUSD[Date],EURUSD[Change %])</f>
        <v>-3.8669064748203166E-3</v>
      </c>
      <c r="D26" s="5">
        <f ca="1">_xlfn.XLOOKUP(nineZero[[#This Row],[Date]],SGDJPY[Date],SGDJPY[Change %])</f>
        <v>2.9970705528802348E-3</v>
      </c>
      <c r="E26" s="5">
        <f ca="1">_xlfn.XLOOKUP(nineZero[[#This Row],[Date]],GBPUSD[Date],GBPUSD[Change %])</f>
        <v>-1.6679302501895223E-3</v>
      </c>
      <c r="L26" s="10"/>
    </row>
    <row r="27" spans="1:12" x14ac:dyDescent="0.35">
      <c r="A27" s="1" vm="26">
        <v>45534</v>
      </c>
      <c r="B27" s="5">
        <f ca="1">_xlfn.XLOOKUP(nineZero[[#This Row],[Date]],USDJPY[Date],USDJPY[Change %])</f>
        <v>8.1390536625741954E-3</v>
      </c>
      <c r="C27" s="5">
        <f ca="1">_xlfn.XLOOKUP(nineZero[[#This Row],[Date]],EURUSD[Date],EURUSD[Change %])</f>
        <v>-2.7083145255934749E-3</v>
      </c>
      <c r="D27" s="5">
        <f ca="1">_xlfn.XLOOKUP(nineZero[[#This Row],[Date]],SGDJPY[Date],SGDJPY[Change %])</f>
        <v>5.4386568944638945E-3</v>
      </c>
      <c r="E27" s="5">
        <f ca="1">_xlfn.XLOOKUP(nineZero[[#This Row],[Date]],GBPUSD[Date],GBPUSD[Change %])</f>
        <v>-3.1895504252733762E-3</v>
      </c>
      <c r="L27" s="10"/>
    </row>
    <row r="28" spans="1:12" x14ac:dyDescent="0.35">
      <c r="A28" s="1" vm="27">
        <v>45537</v>
      </c>
      <c r="B28" s="5">
        <f ca="1">_xlfn.XLOOKUP(nineZero[[#This Row],[Date]],USDJPY[Date],USDJPY[Change %])</f>
        <v>5.062944718117194E-3</v>
      </c>
      <c r="C28" s="5">
        <f ca="1">_xlfn.XLOOKUP(nineZero[[#This Row],[Date]],EURUSD[Date],EURUSD[Change %])</f>
        <v>2.1725355300081088E-3</v>
      </c>
      <c r="D28" s="5">
        <f ca="1">_xlfn.XLOOKUP(nineZero[[#This Row],[Date]],SGDJPY[Date],SGDJPY[Change %])</f>
        <v>4.6787672659745179E-3</v>
      </c>
      <c r="E28" s="5">
        <f ca="1">_xlfn.XLOOKUP(nineZero[[#This Row],[Date]],GBPUSD[Date],GBPUSD[Change %])</f>
        <v>1.7522474478134762E-3</v>
      </c>
      <c r="L28" s="10"/>
    </row>
    <row r="29" spans="1:12" x14ac:dyDescent="0.35">
      <c r="A29" s="1" vm="28">
        <v>45538</v>
      </c>
      <c r="B29" s="5">
        <f ca="1">_xlfn.XLOOKUP(nineZero[[#This Row],[Date]],USDJPY[Date],USDJPY[Change %])</f>
        <v>-9.7345132743363299E-3</v>
      </c>
      <c r="C29" s="5">
        <f ca="1">_xlfn.XLOOKUP(nineZero[[#This Row],[Date]],EURUSD[Date],EURUSD[Change %])</f>
        <v>-2.5291301598770787E-3</v>
      </c>
      <c r="D29" s="5">
        <f ca="1">_xlfn.XLOOKUP(nineZero[[#This Row],[Date]],SGDJPY[Date],SGDJPY[Change %])</f>
        <v>-9.6583577321147623E-3</v>
      </c>
      <c r="E29" s="5">
        <f ca="1">_xlfn.XLOOKUP(nineZero[[#This Row],[Date]],GBPUSD[Date],GBPUSD[Change %])</f>
        <v>-2.8899536086394598E-3</v>
      </c>
      <c r="L29" s="10"/>
    </row>
    <row r="30" spans="1:12" x14ac:dyDescent="0.35">
      <c r="A30" s="1" vm="29">
        <v>45539</v>
      </c>
      <c r="B30" s="5">
        <f ca="1">_xlfn.XLOOKUP(nineZero[[#This Row],[Date]],USDJPY[Date],USDJPY[Change %])</f>
        <v>-1.1961229119406126E-2</v>
      </c>
      <c r="C30" s="5">
        <f ca="1">_xlfn.XLOOKUP(nineZero[[#This Row],[Date]],EURUSD[Date],EURUSD[Change %])</f>
        <v>3.5316490084216375E-3</v>
      </c>
      <c r="D30" s="5">
        <f ca="1">_xlfn.XLOOKUP(nineZero[[#This Row],[Date]],SGDJPY[Date],SGDJPY[Change %])</f>
        <v>-9.6887504639043762E-3</v>
      </c>
      <c r="E30" s="5">
        <f ca="1">_xlfn.XLOOKUP(nineZero[[#This Row],[Date]],GBPUSD[Date],GBPUSD[Change %])</f>
        <v>2.3644268171764951E-3</v>
      </c>
      <c r="L30" s="10"/>
    </row>
    <row r="31" spans="1:12" x14ac:dyDescent="0.35">
      <c r="A31" s="1" vm="30">
        <v>45540</v>
      </c>
      <c r="B31" s="5">
        <f ca="1">_xlfn.XLOOKUP(nineZero[[#This Row],[Date]],USDJPY[Date],USDJPY[Change %])</f>
        <v>-2.0176720239337095E-3</v>
      </c>
      <c r="C31" s="5">
        <f ca="1">_xlfn.XLOOKUP(nineZero[[#This Row],[Date]],EURUSD[Date],EURUSD[Change %])</f>
        <v>2.5266197437284906E-3</v>
      </c>
      <c r="D31" s="5">
        <f ca="1">_xlfn.XLOOKUP(nineZero[[#This Row],[Date]],SGDJPY[Date],SGDJPY[Change %])</f>
        <v>1.1297076824659169E-3</v>
      </c>
      <c r="E31" s="5">
        <f ca="1">_xlfn.XLOOKUP(nineZero[[#This Row],[Date]],GBPUSD[Date],GBPUSD[Change %])</f>
        <v>2.5110333282604312E-3</v>
      </c>
      <c r="L31" s="10"/>
    </row>
    <row r="32" spans="1:12" x14ac:dyDescent="0.35">
      <c r="A32" s="1" vm="31">
        <v>45541</v>
      </c>
      <c r="B32" s="5">
        <f ca="1">_xlfn.XLOOKUP(nineZero[[#This Row],[Date]],USDJPY[Date],USDJPY[Change %])</f>
        <v>-8.1567205800333765E-3</v>
      </c>
      <c r="C32" s="5">
        <f ca="1">_xlfn.XLOOKUP(nineZero[[#This Row],[Date]],EURUSD[Date],EURUSD[Change %])</f>
        <v>-2.4302430243023625E-3</v>
      </c>
      <c r="D32" s="5">
        <f ca="1">_xlfn.XLOOKUP(nineZero[[#This Row],[Date]],SGDJPY[Date],SGDJPY[Change %])</f>
        <v>-1.0136862140850123E-2</v>
      </c>
      <c r="E32" s="5">
        <f ca="1">_xlfn.XLOOKUP(nineZero[[#This Row],[Date]],GBPUSD[Date],GBPUSD[Change %])</f>
        <v>-3.946869070208631E-3</v>
      </c>
      <c r="L32" s="10"/>
    </row>
    <row r="33" spans="1:12" x14ac:dyDescent="0.35">
      <c r="A33" s="1" vm="32">
        <v>45544</v>
      </c>
      <c r="B33" s="5">
        <f ca="1">_xlfn.XLOOKUP(nineZero[[#This Row],[Date]],USDJPY[Date],USDJPY[Change %])</f>
        <v>6.3259998594220653E-3</v>
      </c>
      <c r="C33" s="5">
        <f ca="1">_xlfn.XLOOKUP(nineZero[[#This Row],[Date]],EURUSD[Date],EURUSD[Change %])</f>
        <v>-4.4211855995670178E-3</v>
      </c>
      <c r="D33" s="5">
        <f ca="1">_xlfn.XLOOKUP(nineZero[[#This Row],[Date]],SGDJPY[Date],SGDJPY[Change %])</f>
        <v>3.9373106886081023E-3</v>
      </c>
      <c r="E33" s="5">
        <f ca="1">_xlfn.XLOOKUP(nineZero[[#This Row],[Date]],GBPUSD[Date],GBPUSD[Change %])</f>
        <v>-3.8863064847977631E-3</v>
      </c>
      <c r="L33" s="10"/>
    </row>
    <row r="34" spans="1:12" x14ac:dyDescent="0.35">
      <c r="A34" s="1" vm="33">
        <v>45545</v>
      </c>
      <c r="B34" s="5">
        <f ca="1">_xlfn.XLOOKUP(nineZero[[#This Row],[Date]],USDJPY[Date],USDJPY[Change %])</f>
        <v>-5.1686805895088412E-3</v>
      </c>
      <c r="C34" s="5">
        <f ca="1">_xlfn.XLOOKUP(nineZero[[#This Row],[Date]],EURUSD[Date],EURUSD[Change %])</f>
        <v>-1.3594344752581428E-3</v>
      </c>
      <c r="D34" s="5">
        <f ca="1">_xlfn.XLOOKUP(nineZero[[#This Row],[Date]],SGDJPY[Date],SGDJPY[Change %])</f>
        <v>-4.4061742988062303E-3</v>
      </c>
      <c r="E34" s="5">
        <f ca="1">_xlfn.XLOOKUP(nineZero[[#This Row],[Date]],GBPUSD[Date],GBPUSD[Change %])</f>
        <v>5.3549571603438259E-4</v>
      </c>
      <c r="L34" s="10"/>
    </row>
    <row r="35" spans="1:12" x14ac:dyDescent="0.35">
      <c r="A35" s="1" vm="34">
        <v>45546</v>
      </c>
      <c r="B35" s="5">
        <f ca="1">_xlfn.XLOOKUP(nineZero[[#This Row],[Date]],USDJPY[Date],USDJPY[Change %])</f>
        <v>-5.6167942147028363E-4</v>
      </c>
      <c r="C35" s="5">
        <f ca="1">_xlfn.XLOOKUP(nineZero[[#This Row],[Date]],EURUSD[Date],EURUSD[Change %])</f>
        <v>-7.2601869498151725E-4</v>
      </c>
      <c r="D35" s="5">
        <f ca="1">_xlfn.XLOOKUP(nineZero[[#This Row],[Date]],SGDJPY[Date],SGDJPY[Change %])</f>
        <v>-3.2063467343381423E-5</v>
      </c>
      <c r="E35" s="5">
        <f ca="1">_xlfn.XLOOKUP(nineZero[[#This Row],[Date]],GBPUSD[Date],GBPUSD[Change %])</f>
        <v>-2.7525040140683899E-3</v>
      </c>
      <c r="L35" s="10"/>
    </row>
    <row r="36" spans="1:12" x14ac:dyDescent="0.35">
      <c r="A36" s="1" vm="35">
        <v>45547</v>
      </c>
      <c r="B36" s="5">
        <f ca="1">_xlfn.XLOOKUP(nineZero[[#This Row],[Date]],USDJPY[Date],USDJPY[Change %])</f>
        <v>-3.9339655778012107E-3</v>
      </c>
      <c r="C36" s="5">
        <f ca="1">_xlfn.XLOOKUP(nineZero[[#This Row],[Date]],EURUSD[Date],EURUSD[Change %])</f>
        <v>5.7215511760966052E-3</v>
      </c>
      <c r="D36" s="5">
        <f ca="1">_xlfn.XLOOKUP(nineZero[[#This Row],[Date]],SGDJPY[Date],SGDJPY[Change %])</f>
        <v>-1.8606568640924031E-3</v>
      </c>
      <c r="E36" s="5">
        <f ca="1">_xlfn.XLOOKUP(nineZero[[#This Row],[Date]],GBPUSD[Date],GBPUSD[Change %])</f>
        <v>6.1335582304684558E-3</v>
      </c>
      <c r="L36" s="10"/>
    </row>
    <row r="37" spans="1:12" x14ac:dyDescent="0.35">
      <c r="A37" s="1" vm="36">
        <v>45548</v>
      </c>
      <c r="B37" s="5">
        <f ca="1">_xlfn.XLOOKUP(nineZero[[#This Row],[Date]],USDJPY[Date],USDJPY[Change %])</f>
        <v>-6.8411030397066011E-3</v>
      </c>
      <c r="C37" s="5">
        <f ca="1">_xlfn.XLOOKUP(nineZero[[#This Row],[Date]],EURUSD[Date],EURUSD[Change %])</f>
        <v>1.8060321473720243E-4</v>
      </c>
      <c r="D37" s="5">
        <f ca="1">_xlfn.XLOOKUP(nineZero[[#This Row],[Date]],SGDJPY[Date],SGDJPY[Change %])</f>
        <v>-4.2394854977288142E-3</v>
      </c>
      <c r="E37" s="5">
        <f ca="1">_xlfn.XLOOKUP(nineZero[[#This Row],[Date]],GBPUSD[Date],GBPUSD[Change %])</f>
        <v>-7.6202087937201086E-5</v>
      </c>
      <c r="L37" s="10"/>
    </row>
    <row r="38" spans="1:12" x14ac:dyDescent="0.35">
      <c r="A38" s="1" vm="37">
        <v>45551</v>
      </c>
      <c r="B38" s="5">
        <f ca="1">_xlfn.XLOOKUP(nineZero[[#This Row],[Date]],USDJPY[Date],USDJPY[Change %])</f>
        <v>-1.5622780854992109E-3</v>
      </c>
      <c r="C38" s="5">
        <f ca="1">_xlfn.XLOOKUP(nineZero[[#This Row],[Date]],EURUSD[Date],EURUSD[Change %])</f>
        <v>5.0559768869628471E-3</v>
      </c>
      <c r="D38" s="5">
        <f ca="1">_xlfn.XLOOKUP(nineZero[[#This Row],[Date]],SGDJPY[Date],SGDJPY[Change %])</f>
        <v>5.1894183795748311E-4</v>
      </c>
      <c r="E38" s="5">
        <f ca="1">_xlfn.XLOOKUP(nineZero[[#This Row],[Date]],GBPUSD[Date],GBPUSD[Change %])</f>
        <v>7.163542142966068E-3</v>
      </c>
      <c r="L38" s="10"/>
    </row>
    <row r="39" spans="1:12" x14ac:dyDescent="0.35">
      <c r="A39" s="1" vm="38">
        <v>45552</v>
      </c>
      <c r="B39" s="5">
        <f ca="1">_xlfn.XLOOKUP(nineZero[[#This Row],[Date]],USDJPY[Date],USDJPY[Change %])</f>
        <v>1.2802275960170778E-2</v>
      </c>
      <c r="C39" s="5">
        <f ca="1">_xlfn.XLOOKUP(nineZero[[#This Row],[Date]],EURUSD[Date],EURUSD[Change %])</f>
        <v>-1.7067912324829435E-3</v>
      </c>
      <c r="D39" s="5">
        <f ca="1">_xlfn.XLOOKUP(nineZero[[#This Row],[Date]],SGDJPY[Date],SGDJPY[Change %])</f>
        <v>1.1474366238185849E-2</v>
      </c>
      <c r="E39" s="5">
        <f ca="1">_xlfn.XLOOKUP(nineZero[[#This Row],[Date]],GBPUSD[Date],GBPUSD[Change %])</f>
        <v>-4.2372881355932576E-3</v>
      </c>
      <c r="L39" s="10"/>
    </row>
    <row r="40" spans="1:12" x14ac:dyDescent="0.35">
      <c r="A40" s="1" vm="39">
        <v>45553</v>
      </c>
      <c r="B40" s="5">
        <f ca="1">_xlfn.XLOOKUP(nineZero[[#This Row],[Date]],USDJPY[Date],USDJPY[Change %])</f>
        <v>-9.129213483145748E-4</v>
      </c>
      <c r="C40" s="5">
        <f ca="1">_xlfn.XLOOKUP(nineZero[[#This Row],[Date]],EURUSD[Date],EURUSD[Change %])</f>
        <v>4.4992351300273997E-4</v>
      </c>
      <c r="D40" s="5">
        <f ca="1">_xlfn.XLOOKUP(nineZero[[#This Row],[Date]],SGDJPY[Date],SGDJPY[Change %])</f>
        <v>3.2151763610767424E-4</v>
      </c>
      <c r="E40" s="5">
        <f ca="1">_xlfn.XLOOKUP(nineZero[[#This Row],[Date]],GBPUSD[Date],GBPUSD[Change %])</f>
        <v>3.9513677811549176E-3</v>
      </c>
      <c r="L40" s="10"/>
    </row>
    <row r="41" spans="1:12" x14ac:dyDescent="0.35">
      <c r="A41" s="1" vm="40">
        <v>45554</v>
      </c>
      <c r="B41" s="5">
        <f ca="1">_xlfn.XLOOKUP(nineZero[[#This Row],[Date]],USDJPY[Date],USDJPY[Change %])</f>
        <v>2.4601110564419363E-3</v>
      </c>
      <c r="C41" s="5">
        <f ca="1">_xlfn.XLOOKUP(nineZero[[#This Row],[Date]],EURUSD[Date],EURUSD[Change %])</f>
        <v>3.8676020867064159E-3</v>
      </c>
      <c r="D41" s="5">
        <f ca="1">_xlfn.XLOOKUP(nineZero[[#This Row],[Date]],SGDJPY[Date],SGDJPY[Change %])</f>
        <v>4.7938987736177927E-3</v>
      </c>
      <c r="E41" s="5">
        <f ca="1">_xlfn.XLOOKUP(nineZero[[#This Row],[Date]],GBPUSD[Date],GBPUSD[Change %])</f>
        <v>5.4495912806540236E-3</v>
      </c>
      <c r="L41" s="10"/>
    </row>
    <row r="42" spans="1:12" x14ac:dyDescent="0.35">
      <c r="A42" s="1" vm="41">
        <v>45555</v>
      </c>
      <c r="B42" s="5">
        <f ca="1">_xlfn.XLOOKUP(nineZero[[#This Row],[Date]],USDJPY[Date],USDJPY[Change %])</f>
        <v>9.0450147244425187E-3</v>
      </c>
      <c r="C42" s="5">
        <f ca="1">_xlfn.XLOOKUP(nineZero[[#This Row],[Date]],EURUSD[Date],EURUSD[Change %])</f>
        <v>8.959770629870888E-5</v>
      </c>
      <c r="D42" s="5">
        <f ca="1">_xlfn.XLOOKUP(nineZero[[#This Row],[Date]],SGDJPY[Date],SGDJPY[Change %])</f>
        <v>9.6625755752417532E-3</v>
      </c>
      <c r="E42" s="5">
        <f ca="1">_xlfn.XLOOKUP(nineZero[[#This Row],[Date]],GBPUSD[Date],GBPUSD[Change %])</f>
        <v>2.7853056308341138E-3</v>
      </c>
      <c r="L42" s="10"/>
    </row>
    <row r="43" spans="1:12" x14ac:dyDescent="0.35">
      <c r="A43" s="1" vm="42">
        <v>45558</v>
      </c>
      <c r="B43" s="5">
        <f ca="1">_xlfn.XLOOKUP(nineZero[[#This Row],[Date]],USDJPY[Date],USDJPY[Change %])</f>
        <v>-2.1541241053436334E-3</v>
      </c>
      <c r="C43" s="5">
        <f ca="1">_xlfn.XLOOKUP(nineZero[[#This Row],[Date]],EURUSD[Date],EURUSD[Change %])</f>
        <v>-4.4794839634475139E-3</v>
      </c>
      <c r="D43" s="5">
        <f ca="1">_xlfn.XLOOKUP(nineZero[[#This Row],[Date]],SGDJPY[Date],SGDJPY[Change %])</f>
        <v>-1.6128178180019625E-3</v>
      </c>
      <c r="E43" s="5">
        <f ca="1">_xlfn.XLOOKUP(nineZero[[#This Row],[Date]],GBPUSD[Date],GBPUSD[Change %])</f>
        <v>1.8767359807821834E-3</v>
      </c>
      <c r="L43" s="10"/>
    </row>
    <row r="44" spans="1:12" x14ac:dyDescent="0.35">
      <c r="A44" s="1" vm="43">
        <v>45559</v>
      </c>
      <c r="B44" s="5">
        <f ca="1">_xlfn.XLOOKUP(nineZero[[#This Row],[Date]],USDJPY[Date],USDJPY[Change %])</f>
        <v>-2.7158774373258103E-3</v>
      </c>
      <c r="C44" s="5">
        <f ca="1">_xlfn.XLOOKUP(nineZero[[#This Row],[Date]],EURUSD[Date],EURUSD[Change %])</f>
        <v>6.1195104391649924E-3</v>
      </c>
      <c r="D44" s="5">
        <f ca="1">_xlfn.XLOOKUP(nineZero[[#This Row],[Date]],SGDJPY[Date],SGDJPY[Change %])</f>
        <v>2.9476753907310455E-3</v>
      </c>
      <c r="E44" s="5">
        <f ca="1">_xlfn.XLOOKUP(nineZero[[#This Row],[Date]],GBPUSD[Date],GBPUSD[Change %])</f>
        <v>4.9453019631349763E-3</v>
      </c>
      <c r="L44" s="10"/>
    </row>
    <row r="45" spans="1:12" x14ac:dyDescent="0.35">
      <c r="A45" s="1" vm="44">
        <v>45560</v>
      </c>
      <c r="B45" s="5">
        <f ca="1">_xlfn.XLOOKUP(nineZero[[#This Row],[Date]],USDJPY[Date],USDJPY[Change %])</f>
        <v>1.0753439005655974E-2</v>
      </c>
      <c r="C45" s="5">
        <f ca="1">_xlfn.XLOOKUP(nineZero[[#This Row],[Date]],EURUSD[Date],EURUSD[Change %])</f>
        <v>-4.2933810375672069E-3</v>
      </c>
      <c r="D45" s="5">
        <f ca="1">_xlfn.XLOOKUP(nineZero[[#This Row],[Date]],SGDJPY[Date],SGDJPY[Change %])</f>
        <v>5.4352453792795036E-3</v>
      </c>
      <c r="E45" s="5">
        <f ca="1">_xlfn.XLOOKUP(nineZero[[#This Row],[Date]],GBPUSD[Date],GBPUSD[Change %])</f>
        <v>-6.6358484938860039E-3</v>
      </c>
      <c r="L45" s="10"/>
    </row>
    <row r="46" spans="1:12" x14ac:dyDescent="0.35">
      <c r="A46" s="1" vm="45">
        <v>45561</v>
      </c>
      <c r="B46" s="5">
        <f ca="1">_xlfn.XLOOKUP(nineZero[[#This Row],[Date]],USDJPY[Date],USDJPY[Change %])</f>
        <v>3.4542314335068302E-4</v>
      </c>
      <c r="C46" s="5">
        <f ca="1">_xlfn.XLOOKUP(nineZero[[#This Row],[Date]],EURUSD[Date],EURUSD[Change %])</f>
        <v>3.9525691699604376E-3</v>
      </c>
      <c r="D46" s="5">
        <f ca="1">_xlfn.XLOOKUP(nineZero[[#This Row],[Date]],SGDJPY[Date],SGDJPY[Change %])</f>
        <v>5.8801242706676806E-3</v>
      </c>
      <c r="E46" s="5">
        <f ca="1">_xlfn.XLOOKUP(nineZero[[#This Row],[Date]],GBPUSD[Date],GBPUSD[Change %])</f>
        <v>6.9053516475267394E-3</v>
      </c>
      <c r="L46" s="10"/>
    </row>
    <row r="47" spans="1:12" x14ac:dyDescent="0.35">
      <c r="A47" s="1" vm="46">
        <v>45562</v>
      </c>
      <c r="B47" s="5">
        <f ca="1">_xlfn.XLOOKUP(nineZero[[#This Row],[Date]],USDJPY[Date],USDJPY[Change %])</f>
        <v>-1.8024861878453133E-2</v>
      </c>
      <c r="C47" s="5">
        <f ca="1">_xlfn.XLOOKUP(nineZero[[#This Row],[Date]],EURUSD[Date],EURUSD[Change %])</f>
        <v>-1.1632068718681612E-3</v>
      </c>
      <c r="D47" s="5">
        <f ca="1">_xlfn.XLOOKUP(nineZero[[#This Row],[Date]],SGDJPY[Date],SGDJPY[Change %])</f>
        <v>-1.6798999593208193E-2</v>
      </c>
      <c r="E47" s="5">
        <f ca="1">_xlfn.XLOOKUP(nineZero[[#This Row],[Date]],GBPUSD[Date],GBPUSD[Change %])</f>
        <v>-3.130823704808037E-3</v>
      </c>
      <c r="L47" s="10"/>
    </row>
    <row r="48" spans="1:12" x14ac:dyDescent="0.35">
      <c r="A48" s="1" vm="47">
        <v>45565</v>
      </c>
      <c r="B48" s="5">
        <f ca="1">_xlfn.XLOOKUP(nineZero[[#This Row],[Date]],USDJPY[Date],USDJPY[Change %])</f>
        <v>1.005696603136653E-2</v>
      </c>
      <c r="C48" s="5">
        <f ca="1">_xlfn.XLOOKUP(nineZero[[#This Row],[Date]],EURUSD[Date],EURUSD[Change %])</f>
        <v>-2.5978679566425913E-3</v>
      </c>
      <c r="D48" s="5">
        <f ca="1">_xlfn.XLOOKUP(nineZero[[#This Row],[Date]],SGDJPY[Date],SGDJPY[Change %])</f>
        <v>7.2274212943015332E-3</v>
      </c>
      <c r="E48" s="5">
        <f ca="1">_xlfn.XLOOKUP(nineZero[[#This Row],[Date]],GBPUSD[Date],GBPUSD[Change %])</f>
        <v>-2.2433261048378597E-4</v>
      </c>
      <c r="L48" s="10"/>
    </row>
    <row r="49" spans="1:12" x14ac:dyDescent="0.35">
      <c r="A49" s="1" vm="48">
        <v>45566</v>
      </c>
      <c r="B49" s="5">
        <f ca="1">_xlfn.XLOOKUP(nineZero[[#This Row],[Date]],USDJPY[Date],USDJPY[Change %])</f>
        <v>-4.1776911293693266E-4</v>
      </c>
      <c r="C49" s="5">
        <f ca="1">_xlfn.XLOOKUP(nineZero[[#This Row],[Date]],EURUSD[Date],EURUSD[Change %])</f>
        <v>-6.0176037363031511E-3</v>
      </c>
      <c r="D49" s="5">
        <f ca="1">_xlfn.XLOOKUP(nineZero[[#This Row],[Date]],SGDJPY[Date],SGDJPY[Change %])</f>
        <v>-2.6677907005880678E-3</v>
      </c>
      <c r="E49" s="5">
        <f ca="1">_xlfn.XLOOKUP(nineZero[[#This Row],[Date]],GBPUSD[Date],GBPUSD[Change %])</f>
        <v>-6.3575168287209813E-3</v>
      </c>
      <c r="L49" s="10"/>
    </row>
    <row r="50" spans="1:12" x14ac:dyDescent="0.35">
      <c r="A50" s="1" vm="49">
        <v>45567</v>
      </c>
      <c r="B50" s="5">
        <f ca="1">_xlfn.XLOOKUP(nineZero[[#This Row],[Date]],USDJPY[Date],USDJPY[Change %])</f>
        <v>2.0200612984118179E-2</v>
      </c>
      <c r="C50" s="5">
        <f ca="1">_xlfn.XLOOKUP(nineZero[[#This Row],[Date]],EURUSD[Date],EURUSD[Change %])</f>
        <v>-1.9878919309659166E-3</v>
      </c>
      <c r="D50" s="5">
        <f ca="1">_xlfn.XLOOKUP(nineZero[[#This Row],[Date]],SGDJPY[Date],SGDJPY[Change %])</f>
        <v>1.7121864857419403E-2</v>
      </c>
      <c r="E50" s="5">
        <f ca="1">_xlfn.XLOOKUP(nineZero[[#This Row],[Date]],GBPUSD[Date],GBPUSD[Change %])</f>
        <v>-1.3549115543846622E-3</v>
      </c>
      <c r="L50" s="10"/>
    </row>
    <row r="51" spans="1:12" x14ac:dyDescent="0.35">
      <c r="A51" s="1" vm="50">
        <v>45568</v>
      </c>
      <c r="B51" s="5">
        <f ca="1">_xlfn.XLOOKUP(nineZero[[#This Row],[Date]],USDJPY[Date],USDJPY[Change %])</f>
        <v>3.1407892940050492E-3</v>
      </c>
      <c r="C51" s="5">
        <f ca="1">_xlfn.XLOOKUP(nineZero[[#This Row],[Date]],EURUSD[Date],EURUSD[Change %])</f>
        <v>-1.267541874151261E-3</v>
      </c>
      <c r="D51" s="5">
        <f ca="1">_xlfn.XLOOKUP(nineZero[[#This Row],[Date]],SGDJPY[Date],SGDJPY[Change %])</f>
        <v>-1.3330345547964504E-3</v>
      </c>
      <c r="E51" s="5">
        <f ca="1">_xlfn.XLOOKUP(nineZero[[#This Row],[Date]],GBPUSD[Date],GBPUSD[Change %])</f>
        <v>-1.0778623652672029E-2</v>
      </c>
      <c r="L51" s="10"/>
    </row>
    <row r="52" spans="1:12" x14ac:dyDescent="0.35">
      <c r="A52" s="1" vm="51">
        <v>45569</v>
      </c>
      <c r="B52" s="5">
        <f ca="1">_xlfn.XLOOKUP(nineZero[[#This Row],[Date]],USDJPY[Date],USDJPY[Change %])</f>
        <v>1.2183501225156688E-2</v>
      </c>
      <c r="C52" s="5">
        <f ca="1">_xlfn.XLOOKUP(nineZero[[#This Row],[Date]],EURUSD[Date],EURUSD[Change %])</f>
        <v>-4.9859486900553536E-3</v>
      </c>
      <c r="D52" s="5">
        <f ca="1">_xlfn.XLOOKUP(nineZero[[#This Row],[Date]],SGDJPY[Date],SGDJPY[Change %])</f>
        <v>6.7447413544077361E-3</v>
      </c>
      <c r="E52" s="5">
        <f ca="1">_xlfn.XLOOKUP(nineZero[[#This Row],[Date]],GBPUSD[Date],GBPUSD[Change %])</f>
        <v>-6.0957025297158783E-4</v>
      </c>
      <c r="L52" s="10"/>
    </row>
    <row r="53" spans="1:12" x14ac:dyDescent="0.35">
      <c r="A53" s="1" vm="52">
        <v>45572</v>
      </c>
      <c r="B53" s="5">
        <f ca="1">_xlfn.XLOOKUP(nineZero[[#This Row],[Date]],USDJPY[Date],USDJPY[Change %])</f>
        <v>-3.5639835922264885E-3</v>
      </c>
      <c r="C53" s="5">
        <f ca="1">_xlfn.XLOOKUP(nineZero[[#This Row],[Date]],EURUSD[Date],EURUSD[Change %])</f>
        <v>-1.8221574344021318E-4</v>
      </c>
      <c r="D53" s="5">
        <f ca="1">_xlfn.XLOOKUP(nineZero[[#This Row],[Date]],SGDJPY[Date],SGDJPY[Change %])</f>
        <v>-3.1062767850561692E-3</v>
      </c>
      <c r="E53" s="5">
        <f ca="1">_xlfn.XLOOKUP(nineZero[[#This Row],[Date]],GBPUSD[Date],GBPUSD[Change %])</f>
        <v>-2.5160109789570603E-3</v>
      </c>
      <c r="L53" s="10"/>
    </row>
    <row r="54" spans="1:12" x14ac:dyDescent="0.35">
      <c r="A54" s="1" vm="53">
        <v>45573</v>
      </c>
      <c r="B54" s="5">
        <f ca="1">_xlfn.XLOOKUP(nineZero[[#This Row],[Date]],USDJPY[Date],USDJPY[Change %])</f>
        <v>6.7485490619455417E-5</v>
      </c>
      <c r="C54" s="5">
        <f ca="1">_xlfn.XLOOKUP(nineZero[[#This Row],[Date]],EURUSD[Date],EURUSD[Change %])</f>
        <v>5.4674685620571893E-4</v>
      </c>
      <c r="D54" s="5">
        <f ca="1">_xlfn.XLOOKUP(nineZero[[#This Row],[Date]],SGDJPY[Date],SGDJPY[Change %])</f>
        <v>2.97512164550628E-4</v>
      </c>
      <c r="E54" s="5">
        <f ca="1">_xlfn.XLOOKUP(nineZero[[#This Row],[Date]],GBPUSD[Date],GBPUSD[Change %])</f>
        <v>1.6051364365971036E-3</v>
      </c>
      <c r="L54" s="10"/>
    </row>
    <row r="55" spans="1:12" x14ac:dyDescent="0.35">
      <c r="A55" s="1" vm="54">
        <v>45574</v>
      </c>
      <c r="B55" s="5">
        <f ca="1">_xlfn.XLOOKUP(nineZero[[#This Row],[Date]],USDJPY[Date],USDJPY[Change %])</f>
        <v>7.4229030298940167E-3</v>
      </c>
      <c r="C55" s="5">
        <f ca="1">_xlfn.XLOOKUP(nineZero[[#This Row],[Date]],EURUSD[Date],EURUSD[Change %])</f>
        <v>-3.7340619307832351E-3</v>
      </c>
      <c r="D55" s="5">
        <f ca="1">_xlfn.XLOOKUP(nineZero[[#This Row],[Date]],SGDJPY[Date],SGDJPY[Change %])</f>
        <v>4.8802121739558368E-3</v>
      </c>
      <c r="E55" s="5">
        <f ca="1">_xlfn.XLOOKUP(nineZero[[#This Row],[Date]],GBPUSD[Date],GBPUSD[Change %])</f>
        <v>-2.5946275946276479E-3</v>
      </c>
      <c r="L55" s="10"/>
    </row>
    <row r="56" spans="1:12" x14ac:dyDescent="0.35">
      <c r="A56" s="1" vm="55">
        <v>45575</v>
      </c>
      <c r="B56" s="5">
        <f ca="1">_xlfn.XLOOKUP(nineZero[[#This Row],[Date]],USDJPY[Date],USDJPY[Change %])</f>
        <v>-4.8898117757384275E-3</v>
      </c>
      <c r="C56" s="5">
        <f ca="1">_xlfn.XLOOKUP(nineZero[[#This Row],[Date]],EURUSD[Date],EURUSD[Change %])</f>
        <v>-3.656641374898784E-4</v>
      </c>
      <c r="D56" s="5">
        <f ca="1">_xlfn.XLOOKUP(nineZero[[#This Row],[Date]],SGDJPY[Date],SGDJPY[Change %])</f>
        <v>-3.6699673897433588E-3</v>
      </c>
      <c r="E56" s="5">
        <f ca="1">_xlfn.XLOOKUP(nineZero[[#This Row],[Date]],GBPUSD[Date],GBPUSD[Change %])</f>
        <v>-9.1813312930364799E-4</v>
      </c>
      <c r="L56" s="10"/>
    </row>
    <row r="57" spans="1:12" x14ac:dyDescent="0.35">
      <c r="A57" s="1" vm="56">
        <v>45576</v>
      </c>
      <c r="B57" s="5">
        <f ca="1">_xlfn.XLOOKUP(nineZero[[#This Row],[Date]],USDJPY[Date],USDJPY[Change %])</f>
        <v>3.8368336025847681E-3</v>
      </c>
      <c r="C57" s="5">
        <f ca="1">_xlfn.XLOOKUP(nineZero[[#This Row],[Date]],EURUSD[Date],EURUSD[Change %])</f>
        <v>1.8289894833102696E-4</v>
      </c>
      <c r="D57" s="5">
        <f ca="1">_xlfn.XLOOKUP(nineZero[[#This Row],[Date]],SGDJPY[Date],SGDJPY[Change %])</f>
        <v>4.3751829218452234E-3</v>
      </c>
      <c r="E57" s="5">
        <f ca="1">_xlfn.XLOOKUP(nineZero[[#This Row],[Date]],GBPUSD[Date],GBPUSD[Change %])</f>
        <v>6.1265124827685087E-4</v>
      </c>
      <c r="L57" s="10"/>
    </row>
    <row r="58" spans="1:12" x14ac:dyDescent="0.35">
      <c r="A58" s="1" vm="57">
        <v>45579</v>
      </c>
      <c r="B58" s="5">
        <f ca="1">_xlfn.XLOOKUP(nineZero[[#This Row],[Date]],USDJPY[Date],USDJPY[Change %])</f>
        <v>4.157446523167737E-3</v>
      </c>
      <c r="C58" s="5">
        <f ca="1">_xlfn.XLOOKUP(nineZero[[#This Row],[Date]],EURUSD[Date],EURUSD[Change %])</f>
        <v>-2.5601170339214722E-3</v>
      </c>
      <c r="D58" s="5">
        <f ca="1">_xlfn.XLOOKUP(nineZero[[#This Row],[Date]],SGDJPY[Date],SGDJPY[Change %])</f>
        <v>1.471001322238632E-3</v>
      </c>
      <c r="E58" s="5">
        <f ca="1">_xlfn.XLOOKUP(nineZero[[#This Row],[Date]],GBPUSD[Date],GBPUSD[Change %])</f>
        <v>-5.357416194703221E-4</v>
      </c>
      <c r="L58" s="10"/>
    </row>
    <row r="59" spans="1:12" x14ac:dyDescent="0.35">
      <c r="A59" s="1" vm="58">
        <v>45580</v>
      </c>
      <c r="B59" s="5">
        <f ca="1">_xlfn.XLOOKUP(nineZero[[#This Row],[Date]],USDJPY[Date],USDJPY[Change %])</f>
        <v>-3.7395659432387465E-3</v>
      </c>
      <c r="C59" s="5">
        <f ca="1">_xlfn.XLOOKUP(nineZero[[#This Row],[Date]],EURUSD[Date],EURUSD[Change %])</f>
        <v>-1.7416811806765175E-3</v>
      </c>
      <c r="D59" s="5">
        <f ca="1">_xlfn.XLOOKUP(nineZero[[#This Row],[Date]],SGDJPY[Date],SGDJPY[Change %])</f>
        <v>-4.500017475796027E-3</v>
      </c>
      <c r="E59" s="5">
        <f ca="1">_xlfn.XLOOKUP(nineZero[[#This Row],[Date]],GBPUSD[Date],GBPUSD[Change %])</f>
        <v>9.9548204303534483E-4</v>
      </c>
      <c r="L59" s="10"/>
    </row>
    <row r="60" spans="1:12" x14ac:dyDescent="0.35">
      <c r="A60" s="1" vm="59">
        <v>45581</v>
      </c>
      <c r="B60" s="5">
        <f ca="1">_xlfn.XLOOKUP(nineZero[[#This Row],[Date]],USDJPY[Date],USDJPY[Change %])</f>
        <v>2.8822307125142893E-3</v>
      </c>
      <c r="C60" s="5">
        <f ca="1">_xlfn.XLOOKUP(nineZero[[#This Row],[Date]],EURUSD[Date],EURUSD[Change %])</f>
        <v>-2.6629935720843918E-3</v>
      </c>
      <c r="D60" s="5">
        <f ca="1">_xlfn.XLOOKUP(nineZero[[#This Row],[Date]],SGDJPY[Date],SGDJPY[Change %])</f>
        <v>-2.0188011831976914E-5</v>
      </c>
      <c r="E60" s="5">
        <f ca="1">_xlfn.XLOOKUP(nineZero[[#This Row],[Date]],GBPUSD[Date],GBPUSD[Change %])</f>
        <v>-6.2729498164014576E-3</v>
      </c>
      <c r="L60" s="10"/>
    </row>
    <row r="61" spans="1:12" x14ac:dyDescent="0.35">
      <c r="A61" s="1" vm="60">
        <v>45582</v>
      </c>
      <c r="B61" s="5">
        <f ca="1">_xlfn.XLOOKUP(nineZero[[#This Row],[Date]],USDJPY[Date],USDJPY[Change %])</f>
        <v>3.876487100654886E-3</v>
      </c>
      <c r="C61" s="5">
        <f ca="1">_xlfn.XLOOKUP(nineZero[[#This Row],[Date]],EURUSD[Date],EURUSD[Change %])</f>
        <v>-2.7621765951570884E-3</v>
      </c>
      <c r="D61" s="5">
        <f ca="1">_xlfn.XLOOKUP(nineZero[[#This Row],[Date]],SGDJPY[Date],SGDJPY[Change %])</f>
        <v>2.884310701530095E-3</v>
      </c>
      <c r="E61" s="5">
        <f ca="1">_xlfn.XLOOKUP(nineZero[[#This Row],[Date]],GBPUSD[Date],GBPUSD[Change %])</f>
        <v>1.5396458814472685E-3</v>
      </c>
      <c r="L61" s="10"/>
    </row>
    <row r="62" spans="1:12" x14ac:dyDescent="0.35">
      <c r="A62" s="1" vm="61">
        <v>45583</v>
      </c>
      <c r="B62" s="5">
        <f ca="1">_xlfn.XLOOKUP(nineZero[[#This Row],[Date]],USDJPY[Date],USDJPY[Change %])</f>
        <v>-4.527296937416634E-3</v>
      </c>
      <c r="C62" s="5">
        <f ca="1">_xlfn.XLOOKUP(nineZero[[#This Row],[Date]],EURUSD[Date],EURUSD[Change %])</f>
        <v>3.2314652386668439E-3</v>
      </c>
      <c r="D62" s="5">
        <f ca="1">_xlfn.XLOOKUP(nineZero[[#This Row],[Date]],SGDJPY[Date],SGDJPY[Change %])</f>
        <v>-1.4126259350769762E-3</v>
      </c>
      <c r="E62" s="5">
        <f ca="1">_xlfn.XLOOKUP(nineZero[[#This Row],[Date]],GBPUSD[Date],GBPUSD[Change %])</f>
        <v>2.9208301306687364E-3</v>
      </c>
      <c r="L62" s="10"/>
    </row>
    <row r="63" spans="1:12" x14ac:dyDescent="0.35">
      <c r="A63" s="1" vm="62">
        <v>45586</v>
      </c>
      <c r="B63" s="5">
        <f ca="1">_xlfn.XLOOKUP(nineZero[[#This Row],[Date]],USDJPY[Date],USDJPY[Change %])</f>
        <v>8.7613697164259114E-3</v>
      </c>
      <c r="C63" s="5">
        <f ca="1">_xlfn.XLOOKUP(nineZero[[#This Row],[Date]],EURUSD[Date],EURUSD[Change %])</f>
        <v>-4.6935394809498477E-3</v>
      </c>
      <c r="D63" s="5">
        <f ca="1">_xlfn.XLOOKUP(nineZero[[#This Row],[Date]],SGDJPY[Date],SGDJPY[Change %])</f>
        <v>4.2394904547920515E-3</v>
      </c>
      <c r="E63" s="5">
        <f ca="1">_xlfn.XLOOKUP(nineZero[[#This Row],[Date]],GBPUSD[Date],GBPUSD[Change %])</f>
        <v>-4.9049662783568065E-3</v>
      </c>
      <c r="L63" s="10"/>
    </row>
    <row r="64" spans="1:12" x14ac:dyDescent="0.35">
      <c r="A64" s="1" vm="63">
        <v>45587</v>
      </c>
      <c r="B64" s="5">
        <f ca="1">_xlfn.XLOOKUP(nineZero[[#This Row],[Date]],USDJPY[Date],USDJPY[Change %])</f>
        <v>1.5248955778027564E-3</v>
      </c>
      <c r="C64" s="5">
        <f ca="1">_xlfn.XLOOKUP(nineZero[[#This Row],[Date]],EURUSD[Date],EURUSD[Change %])</f>
        <v>-1.6643550624131317E-3</v>
      </c>
      <c r="D64" s="5">
        <f ca="1">_xlfn.XLOOKUP(nineZero[[#This Row],[Date]],SGDJPY[Date],SGDJPY[Change %])</f>
        <v>1.3728686933570978E-3</v>
      </c>
      <c r="E64" s="5">
        <f ca="1">_xlfn.XLOOKUP(nineZero[[#This Row],[Date]],GBPUSD[Date],GBPUSD[Change %])</f>
        <v>-7.7017868145401255E-5</v>
      </c>
      <c r="L64" s="10"/>
    </row>
    <row r="65" spans="1:12" x14ac:dyDescent="0.35">
      <c r="A65" s="1" vm="64">
        <v>45588</v>
      </c>
      <c r="B65" s="5">
        <f ca="1">_xlfn.XLOOKUP(nineZero[[#This Row],[Date]],USDJPY[Date],USDJPY[Change %])</f>
        <v>1.1187607573149726E-2</v>
      </c>
      <c r="C65" s="5">
        <f ca="1">_xlfn.XLOOKUP(nineZero[[#This Row],[Date]],EURUSD[Date],EURUSD[Change %])</f>
        <v>-1.4818931184588735E-3</v>
      </c>
      <c r="D65" s="5">
        <f ca="1">_xlfn.XLOOKUP(nineZero[[#This Row],[Date]],SGDJPY[Date],SGDJPY[Change %])</f>
        <v>6.1437278456686608E-3</v>
      </c>
      <c r="E65" s="5">
        <f ca="1">_xlfn.XLOOKUP(nineZero[[#This Row],[Date]],GBPUSD[Date],GBPUSD[Change %])</f>
        <v>-4.8524994223214761E-3</v>
      </c>
      <c r="L65" s="10"/>
    </row>
    <row r="66" spans="1:12" x14ac:dyDescent="0.35">
      <c r="A66" s="1" vm="65">
        <v>45589</v>
      </c>
      <c r="B66" s="5">
        <f ca="1">_xlfn.XLOOKUP(nineZero[[#This Row],[Date]],USDJPY[Date],USDJPY[Change %])</f>
        <v>-6.0883797054010263E-3</v>
      </c>
      <c r="C66" s="5">
        <f ca="1">_xlfn.XLOOKUP(nineZero[[#This Row],[Date]],EURUSD[Date],EURUSD[Change %])</f>
        <v>4.2667656061589248E-3</v>
      </c>
      <c r="D66" s="5">
        <f ca="1">_xlfn.XLOOKUP(nineZero[[#This Row],[Date]],SGDJPY[Date],SGDJPY[Change %])</f>
        <v>-2.3180913341845845E-3</v>
      </c>
      <c r="E66" s="5">
        <f ca="1">_xlfn.XLOOKUP(nineZero[[#This Row],[Date]],GBPUSD[Date],GBPUSD[Change %])</f>
        <v>4.0247678018574852E-3</v>
      </c>
      <c r="L66" s="10"/>
    </row>
    <row r="67" spans="1:12" x14ac:dyDescent="0.35">
      <c r="A67" s="1" vm="66">
        <v>45590</v>
      </c>
      <c r="B67" s="5">
        <f ca="1">_xlfn.XLOOKUP(nineZero[[#This Row],[Date]],USDJPY[Date],USDJPY[Change %])</f>
        <v>3.1616387827691885E-3</v>
      </c>
      <c r="C67" s="5">
        <f ca="1">_xlfn.XLOOKUP(nineZero[[#This Row],[Date]],EURUSD[Date],EURUSD[Change %])</f>
        <v>-3.1402974046366209E-3</v>
      </c>
      <c r="D67" s="5">
        <f ca="1">_xlfn.XLOOKUP(nineZero[[#This Row],[Date]],SGDJPY[Date],SGDJPY[Change %])</f>
        <v>3.5425215459972267E-4</v>
      </c>
      <c r="E67" s="5">
        <f ca="1">_xlfn.XLOOKUP(nineZero[[#This Row],[Date]],GBPUSD[Date],GBPUSD[Change %])</f>
        <v>-1.0021584952203647E-3</v>
      </c>
      <c r="L67" s="10"/>
    </row>
    <row r="68" spans="1:12" x14ac:dyDescent="0.35">
      <c r="A68" s="1" vm="67">
        <v>45593</v>
      </c>
      <c r="B68" s="5">
        <f ca="1">_xlfn.XLOOKUP(nineZero[[#This Row],[Date]],USDJPY[Date],USDJPY[Change %])</f>
        <v>6.4346684175967802E-3</v>
      </c>
      <c r="C68" s="5">
        <f ca="1">_xlfn.XLOOKUP(nineZero[[#This Row],[Date]],EURUSD[Date],EURUSD[Change %])</f>
        <v>1.7604002594274186E-3</v>
      </c>
      <c r="D68" s="5">
        <f ca="1">_xlfn.XLOOKUP(nineZero[[#This Row],[Date]],SGDJPY[Date],SGDJPY[Change %])</f>
        <v>5.5974586201210539E-3</v>
      </c>
      <c r="E68" s="5">
        <f ca="1">_xlfn.XLOOKUP(nineZero[[#This Row],[Date]],GBPUSD[Date],GBPUSD[Change %])</f>
        <v>9.2599737634066503E-4</v>
      </c>
      <c r="L68" s="10"/>
    </row>
    <row r="69" spans="1:12" x14ac:dyDescent="0.35">
      <c r="A69" s="1" vm="68">
        <v>45594</v>
      </c>
      <c r="B69" s="5">
        <f ca="1">_xlfn.XLOOKUP(nineZero[[#This Row],[Date]],USDJPY[Date],USDJPY[Change %])</f>
        <v>4.566805845511037E-4</v>
      </c>
      <c r="C69" s="5">
        <f ca="1">_xlfn.XLOOKUP(nineZero[[#This Row],[Date]],EURUSD[Date],EURUSD[Change %])</f>
        <v>5.5493895671490569E-4</v>
      </c>
      <c r="D69" s="5">
        <f ca="1">_xlfn.XLOOKUP(nineZero[[#This Row],[Date]],SGDJPY[Date],SGDJPY[Change %])</f>
        <v>-7.5178300314442624E-4</v>
      </c>
      <c r="E69" s="5">
        <f ca="1">_xlfn.XLOOKUP(nineZero[[#This Row],[Date]],GBPUSD[Date],GBPUSD[Change %])</f>
        <v>3.3921825610979737E-3</v>
      </c>
      <c r="L69" s="10"/>
    </row>
    <row r="70" spans="1:12" x14ac:dyDescent="0.35">
      <c r="A70" s="1" vm="69">
        <v>45595</v>
      </c>
      <c r="B70" s="5">
        <f ca="1">_xlfn.XLOOKUP(nineZero[[#This Row],[Date]],USDJPY[Date],USDJPY[Change %])</f>
        <v>3.9126181936747492E-4</v>
      </c>
      <c r="C70" s="5">
        <f ca="1">_xlfn.XLOOKUP(nineZero[[#This Row],[Date]],EURUSD[Date],EURUSD[Change %])</f>
        <v>3.420225550009072E-3</v>
      </c>
      <c r="D70" s="5">
        <f ca="1">_xlfn.XLOOKUP(nineZero[[#This Row],[Date]],SGDJPY[Date],SGDJPY[Change %])</f>
        <v>2.0454207796784885E-3</v>
      </c>
      <c r="E70" s="5">
        <f ca="1">_xlfn.XLOOKUP(nineZero[[#This Row],[Date]],GBPUSD[Date],GBPUSD[Change %])</f>
        <v>-4.0722243565117803E-3</v>
      </c>
      <c r="L70" s="10"/>
    </row>
    <row r="71" spans="1:12" x14ac:dyDescent="0.35">
      <c r="A71" s="1" vm="70">
        <v>45596</v>
      </c>
      <c r="B71" s="5">
        <f ca="1">_xlfn.XLOOKUP(nineZero[[#This Row],[Date]],USDJPY[Date],USDJPY[Change %])</f>
        <v>-8.995502248875532E-3</v>
      </c>
      <c r="C71" s="5">
        <f ca="1">_xlfn.XLOOKUP(nineZero[[#This Row],[Date]],EURUSD[Date],EURUSD[Change %])</f>
        <v>2.5794564716721657E-3</v>
      </c>
      <c r="D71" s="5">
        <f ca="1">_xlfn.XLOOKUP(nineZero[[#This Row],[Date]],SGDJPY[Date],SGDJPY[Change %])</f>
        <v>-7.3340022550246057E-3</v>
      </c>
      <c r="E71" s="5">
        <f ca="1">_xlfn.XLOOKUP(nineZero[[#This Row],[Date]],GBPUSD[Date],GBPUSD[Change %])</f>
        <v>-4.9375096435734928E-3</v>
      </c>
      <c r="L71" s="10"/>
    </row>
    <row r="72" spans="1:12" x14ac:dyDescent="0.35">
      <c r="A72" s="1" vm="71">
        <v>45597</v>
      </c>
      <c r="B72" s="5">
        <f ca="1">_xlfn.XLOOKUP(nineZero[[#This Row],[Date]],USDJPY[Date],USDJPY[Change %])</f>
        <v>6.2487666907846389E-3</v>
      </c>
      <c r="C72" s="5">
        <f ca="1">_xlfn.XLOOKUP(nineZero[[#This Row],[Date]],EURUSD[Date],EURUSD[Change %])</f>
        <v>-4.5024349903520413E-3</v>
      </c>
      <c r="D72" s="5">
        <f ca="1">_xlfn.XLOOKUP(nineZero[[#This Row],[Date]],SGDJPY[Date],SGDJPY[Change %])</f>
        <v>1.3946202047990417E-3</v>
      </c>
      <c r="E72" s="5">
        <f ca="1">_xlfn.XLOOKUP(nineZero[[#This Row],[Date]],GBPUSD[Date],GBPUSD[Change %])</f>
        <v>2.1708792060783949E-3</v>
      </c>
      <c r="L72" s="10"/>
    </row>
    <row r="73" spans="1:12" x14ac:dyDescent="0.35">
      <c r="A73" s="1" vm="72">
        <v>45600</v>
      </c>
      <c r="B73" s="5">
        <f ca="1">_xlfn.XLOOKUP(nineZero[[#This Row],[Date]],USDJPY[Date],USDJPY[Change %])</f>
        <v>-5.5562818669106706E-3</v>
      </c>
      <c r="C73" s="5">
        <f ca="1">_xlfn.XLOOKUP(nineZero[[#This Row],[Date]],EURUSD[Date],EURUSD[Change %])</f>
        <v>3.9689865239061943E-3</v>
      </c>
      <c r="D73" s="5">
        <f ca="1">_xlfn.XLOOKUP(nineZero[[#This Row],[Date]],SGDJPY[Date],SGDJPY[Change %])</f>
        <v>-5.0902986019457381E-4</v>
      </c>
      <c r="E73" s="5">
        <f ca="1">_xlfn.XLOOKUP(nineZero[[#This Row],[Date]],GBPUSD[Date],GBPUSD[Change %])</f>
        <v>2.3982670586415772E-3</v>
      </c>
      <c r="L73" s="10"/>
    </row>
    <row r="74" spans="1:12" x14ac:dyDescent="0.35">
      <c r="A74" s="1" vm="73">
        <v>45601</v>
      </c>
      <c r="B74" s="5">
        <f ca="1">_xlfn.XLOOKUP(nineZero[[#This Row],[Date]],USDJPY[Date],USDJPY[Change %])</f>
        <v>-3.4838624860316909E-3</v>
      </c>
      <c r="C74" s="5">
        <f ca="1">_xlfn.XLOOKUP(nineZero[[#This Row],[Date]],EURUSD[Date],EURUSD[Change %])</f>
        <v>4.8726670957066126E-3</v>
      </c>
      <c r="D74" s="5">
        <f ca="1">_xlfn.XLOOKUP(nineZero[[#This Row],[Date]],SGDJPY[Date],SGDJPY[Change %])</f>
        <v>5.2403853244918901E-4</v>
      </c>
      <c r="E74" s="5">
        <f ca="1">_xlfn.XLOOKUP(nineZero[[#This Row],[Date]],GBPUSD[Date],GBPUSD[Change %])</f>
        <v>6.4829821717989986E-3</v>
      </c>
      <c r="L74" s="10"/>
    </row>
    <row r="75" spans="1:12" x14ac:dyDescent="0.35">
      <c r="A75" s="1" vm="74">
        <v>45602</v>
      </c>
      <c r="B75" s="5">
        <f ca="1">_xlfn.XLOOKUP(nineZero[[#This Row],[Date]],USDJPY[Date],USDJPY[Change %])</f>
        <v>1.9986807387862807E-2</v>
      </c>
      <c r="C75" s="5">
        <f ca="1">_xlfn.XLOOKUP(nineZero[[#This Row],[Date]],EURUSD[Date],EURUSD[Change %])</f>
        <v>-1.8481244281793225E-2</v>
      </c>
      <c r="D75" s="5">
        <f ca="1">_xlfn.XLOOKUP(nineZero[[#This Row],[Date]],SGDJPY[Date],SGDJPY[Change %])</f>
        <v>5.38939343092339E-3</v>
      </c>
      <c r="E75" s="5">
        <f ca="1">_xlfn.XLOOKUP(nineZero[[#This Row],[Date]],GBPUSD[Date],GBPUSD[Change %])</f>
        <v>-1.2499041484548716E-2</v>
      </c>
      <c r="L75" s="10"/>
    </row>
    <row r="76" spans="1:12" x14ac:dyDescent="0.35">
      <c r="A76" s="1" vm="75">
        <v>45603</v>
      </c>
      <c r="B76" s="5">
        <f ca="1">_xlfn.XLOOKUP(nineZero[[#This Row],[Date]],USDJPY[Date],USDJPY[Change %])</f>
        <v>-1.0993985643148086E-2</v>
      </c>
      <c r="C76" s="5">
        <f ca="1">_xlfn.XLOOKUP(nineZero[[#This Row],[Date]],EURUSD[Date],EURUSD[Change %])</f>
        <v>7.0842654735272662E-3</v>
      </c>
      <c r="D76" s="5">
        <f ca="1">_xlfn.XLOOKUP(nineZero[[#This Row],[Date]],SGDJPY[Date],SGDJPY[Change %])</f>
        <v>-8.806233536828961E-4</v>
      </c>
      <c r="E76" s="5">
        <f ca="1">_xlfn.XLOOKUP(nineZero[[#This Row],[Date]],GBPUSD[Date],GBPUSD[Change %])</f>
        <v>8.3863954030128276E-3</v>
      </c>
      <c r="L76" s="10"/>
    </row>
    <row r="77" spans="1:12" x14ac:dyDescent="0.35">
      <c r="A77" s="1" vm="76">
        <v>45604</v>
      </c>
      <c r="B77" s="5">
        <f ca="1">_xlfn.XLOOKUP(nineZero[[#This Row],[Date]],USDJPY[Date],USDJPY[Change %])</f>
        <v>-1.9616818152096475E-3</v>
      </c>
      <c r="C77" s="5">
        <f ca="1">_xlfn.XLOOKUP(nineZero[[#This Row],[Date]],EURUSD[Date],EURUSD[Change %])</f>
        <v>-7.9600148093298233E-3</v>
      </c>
      <c r="D77" s="5">
        <f ca="1">_xlfn.XLOOKUP(nineZero[[#This Row],[Date]],SGDJPY[Date],SGDJPY[Change %])</f>
        <v>-6.9260220047739091E-3</v>
      </c>
      <c r="E77" s="5">
        <f ca="1">_xlfn.XLOOKUP(nineZero[[#This Row],[Date]],GBPUSD[Date],GBPUSD[Change %])</f>
        <v>-5.005390420452757E-3</v>
      </c>
      <c r="L77" s="10"/>
    </row>
    <row r="78" spans="1:12" x14ac:dyDescent="0.35">
      <c r="A78" s="1" vm="77">
        <v>45607</v>
      </c>
      <c r="B78" s="5">
        <f ca="1">_xlfn.XLOOKUP(nineZero[[#This Row],[Date]],USDJPY[Date],USDJPY[Change %])</f>
        <v>7.0759352682959612E-3</v>
      </c>
      <c r="C78" s="5">
        <f ca="1">_xlfn.XLOOKUP(nineZero[[#This Row],[Date]],EURUSD[Date],EURUSD[Change %])</f>
        <v>-5.9712632953911014E-3</v>
      </c>
      <c r="D78" s="5">
        <f ca="1">_xlfn.XLOOKUP(nineZero[[#This Row],[Date]],SGDJPY[Date],SGDJPY[Change %])</f>
        <v>1.4152066914588997E-3</v>
      </c>
      <c r="E78" s="5">
        <f ca="1">_xlfn.XLOOKUP(nineZero[[#This Row],[Date]],GBPUSD[Date],GBPUSD[Change %])</f>
        <v>-4.0244563114310763E-3</v>
      </c>
      <c r="L78" s="10"/>
    </row>
    <row r="79" spans="1:12" x14ac:dyDescent="0.35">
      <c r="A79" s="1" vm="78">
        <v>45608</v>
      </c>
      <c r="B79" s="5">
        <f ca="1">_xlfn.XLOOKUP(nineZero[[#This Row],[Date]],USDJPY[Date],USDJPY[Change %])</f>
        <v>5.7901242599699846E-3</v>
      </c>
      <c r="C79" s="5">
        <f ca="1">_xlfn.XLOOKUP(nineZero[[#This Row],[Date]],EURUSD[Date],EURUSD[Change %])</f>
        <v>-2.9097052750139676E-3</v>
      </c>
      <c r="D79" s="5">
        <f ca="1">_xlfn.XLOOKUP(nineZero[[#This Row],[Date]],SGDJPY[Date],SGDJPY[Change %])</f>
        <v>2.633703417564357E-3</v>
      </c>
      <c r="E79" s="5">
        <f ca="1">_xlfn.XLOOKUP(nineZero[[#This Row],[Date]],GBPUSD[Date],GBPUSD[Change %])</f>
        <v>-9.4801460874970774E-3</v>
      </c>
      <c r="L79" s="10"/>
    </row>
    <row r="80" spans="1:12" x14ac:dyDescent="0.35">
      <c r="A80" s="1" vm="79">
        <v>45609</v>
      </c>
      <c r="B80" s="5">
        <f ca="1">_xlfn.XLOOKUP(nineZero[[#This Row],[Date]],USDJPY[Date],USDJPY[Change %])</f>
        <v>5.49805950840876E-3</v>
      </c>
      <c r="C80" s="5">
        <f ca="1">_xlfn.XLOOKUP(nineZero[[#This Row],[Date]],EURUSD[Date],EURUSD[Change %])</f>
        <v>-5.6481219994351925E-3</v>
      </c>
      <c r="D80" s="5">
        <f ca="1">_xlfn.XLOOKUP(nineZero[[#This Row],[Date]],SGDJPY[Date],SGDJPY[Change %])</f>
        <v>2.2034174181662656E-3</v>
      </c>
      <c r="E80" s="5">
        <f ca="1">_xlfn.XLOOKUP(nineZero[[#This Row],[Date]],GBPUSD[Date],GBPUSD[Change %])</f>
        <v>-3.4517925786459241E-3</v>
      </c>
      <c r="L80" s="10"/>
    </row>
    <row r="81" spans="1:12" x14ac:dyDescent="0.35">
      <c r="A81" s="1" vm="80">
        <v>45610</v>
      </c>
      <c r="B81" s="5">
        <f ca="1">_xlfn.XLOOKUP(nineZero[[#This Row],[Date]],USDJPY[Date],USDJPY[Change %])</f>
        <v>5.1463493084593854E-3</v>
      </c>
      <c r="C81" s="5">
        <f ca="1">_xlfn.XLOOKUP(nineZero[[#This Row],[Date]],EURUSD[Date],EURUSD[Change %])</f>
        <v>-3.1241124680489261E-3</v>
      </c>
      <c r="D81" s="5">
        <f ca="1">_xlfn.XLOOKUP(nineZero[[#This Row],[Date]],SGDJPY[Date],SGDJPY[Change %])</f>
        <v>2.385170991966782E-3</v>
      </c>
      <c r="E81" s="5">
        <f ca="1">_xlfn.XLOOKUP(nineZero[[#This Row],[Date]],GBPUSD[Date],GBPUSD[Change %])</f>
        <v>-2.9914193497599193E-3</v>
      </c>
      <c r="L81" s="10"/>
    </row>
    <row r="82" spans="1:12" x14ac:dyDescent="0.35">
      <c r="A82" s="1" vm="81">
        <v>45611</v>
      </c>
      <c r="B82" s="5">
        <f ca="1">_xlfn.XLOOKUP(nineZero[[#This Row],[Date]],USDJPY[Date],USDJPY[Change %])</f>
        <v>-1.2223999999999978E-2</v>
      </c>
      <c r="C82" s="5">
        <f ca="1">_xlfn.XLOOKUP(nineZero[[#This Row],[Date]],EURUSD[Date],EURUSD[Change %])</f>
        <v>1.0446343779678072E-3</v>
      </c>
      <c r="D82" s="5">
        <f ca="1">_xlfn.XLOOKUP(nineZero[[#This Row],[Date]],SGDJPY[Date],SGDJPY[Change %])</f>
        <v>-9.5024691251626298E-3</v>
      </c>
      <c r="E82" s="5">
        <f ca="1">_xlfn.XLOOKUP(nineZero[[#This Row],[Date]],GBPUSD[Date],GBPUSD[Change %])</f>
        <v>-3.7899723647847735E-3</v>
      </c>
      <c r="L82" s="10"/>
    </row>
    <row r="83" spans="1:12" x14ac:dyDescent="0.35">
      <c r="A83" s="1" vm="82">
        <v>45614</v>
      </c>
      <c r="B83" s="5">
        <f ca="1">_xlfn.XLOOKUP(nineZero[[#This Row],[Date]],USDJPY[Date],USDJPY[Change %])</f>
        <v>2.0085525463263074E-3</v>
      </c>
      <c r="C83" s="5">
        <f ca="1">_xlfn.XLOOKUP(nineZero[[#This Row],[Date]],EURUSD[Date],EURUSD[Change %])</f>
        <v>5.5023242576605893E-3</v>
      </c>
      <c r="D83" s="5">
        <f ca="1">_xlfn.XLOOKUP(nineZero[[#This Row],[Date]],SGDJPY[Date],SGDJPY[Change %])</f>
        <v>4.9264598400422773E-3</v>
      </c>
      <c r="E83" s="5">
        <f ca="1">_xlfn.XLOOKUP(nineZero[[#This Row],[Date]],GBPUSD[Date],GBPUSD[Change %])</f>
        <v>4.6762304826821087E-3</v>
      </c>
      <c r="L83" s="10"/>
    </row>
    <row r="84" spans="1:12" x14ac:dyDescent="0.35">
      <c r="A84" s="1" vm="83">
        <v>45615</v>
      </c>
      <c r="B84" s="5">
        <f ca="1">_xlfn.XLOOKUP(nineZero[[#This Row],[Date]],USDJPY[Date],USDJPY[Change %])</f>
        <v>0</v>
      </c>
      <c r="C84" s="5">
        <f ca="1">_xlfn.XLOOKUP(nineZero[[#This Row],[Date]],EURUSD[Date],EURUSD[Change %])</f>
        <v>-3.7739409378239073E-4</v>
      </c>
      <c r="D84" s="5">
        <f ca="1">_xlfn.XLOOKUP(nineZero[[#This Row],[Date]],SGDJPY[Date],SGDJPY[Change %])</f>
        <v>3.740369846384984E-4</v>
      </c>
      <c r="E84" s="5">
        <f ca="1">_xlfn.XLOOKUP(nineZero[[#This Row],[Date]],GBPUSD[Date],GBPUSD[Change %])</f>
        <v>4.7333543704633474E-4</v>
      </c>
      <c r="L84" s="10"/>
    </row>
    <row r="85" spans="1:12" x14ac:dyDescent="0.35">
      <c r="A85" s="1" vm="84">
        <v>45616</v>
      </c>
      <c r="B85" s="5">
        <f ca="1">_xlfn.XLOOKUP(nineZero[[#This Row],[Date]],USDJPY[Date],USDJPY[Change %])</f>
        <v>5.0436469447138772E-3</v>
      </c>
      <c r="C85" s="5">
        <f ca="1">_xlfn.XLOOKUP(nineZero[[#This Row],[Date]],EURUSD[Date],EURUSD[Change %])</f>
        <v>-4.9079754601227873E-3</v>
      </c>
      <c r="D85" s="5">
        <f ca="1">_xlfn.XLOOKUP(nineZero[[#This Row],[Date]],SGDJPY[Date],SGDJPY[Change %])</f>
        <v>1.3778801763548012E-3</v>
      </c>
      <c r="E85" s="5">
        <f ca="1">_xlfn.XLOOKUP(nineZero[[#This Row],[Date]],GBPUSD[Date],GBPUSD[Change %])</f>
        <v>-2.5232613152500328E-3</v>
      </c>
      <c r="L85" s="10"/>
    </row>
    <row r="86" spans="1:12" x14ac:dyDescent="0.35">
      <c r="A86" s="1" vm="85">
        <v>45617</v>
      </c>
      <c r="B86" s="5">
        <f ca="1">_xlfn.XLOOKUP(nineZero[[#This Row],[Date]],USDJPY[Date],USDJPY[Change %])</f>
        <v>-5.91906324390411E-3</v>
      </c>
      <c r="C86" s="5">
        <f ca="1">_xlfn.XLOOKUP(nineZero[[#This Row],[Date]],EURUSD[Date],EURUSD[Change %])</f>
        <v>-6.6394764298587849E-3</v>
      </c>
      <c r="D86" s="5">
        <f ca="1">_xlfn.XLOOKUP(nineZero[[#This Row],[Date]],SGDJPY[Date],SGDJPY[Change %])</f>
        <v>-8.4287677508016572E-3</v>
      </c>
      <c r="E86" s="5">
        <f ca="1">_xlfn.XLOOKUP(nineZero[[#This Row],[Date]],GBPUSD[Date],GBPUSD[Change %])</f>
        <v>-5.0592885375493769E-3</v>
      </c>
      <c r="L86" s="10"/>
    </row>
    <row r="87" spans="1:12" x14ac:dyDescent="0.35">
      <c r="A87" s="1" vm="86">
        <v>45618</v>
      </c>
      <c r="B87" s="5">
        <f ca="1">_xlfn.XLOOKUP(nineZero[[#This Row],[Date]],USDJPY[Date],USDJPY[Change %])</f>
        <v>1.488576791146322E-3</v>
      </c>
      <c r="C87" s="5">
        <f ca="1">_xlfn.XLOOKUP(nineZero[[#This Row],[Date]],EURUSD[Date],EURUSD[Change %])</f>
        <v>-5.3470829752695773E-3</v>
      </c>
      <c r="D87" s="5">
        <f ca="1">_xlfn.XLOOKUP(nineZero[[#This Row],[Date]],SGDJPY[Date],SGDJPY[Change %])</f>
        <v>1.4887930839110964E-3</v>
      </c>
      <c r="E87" s="5">
        <f ca="1">_xlfn.XLOOKUP(nineZero[[#This Row],[Date]],GBPUSD[Date],GBPUSD[Change %])</f>
        <v>-4.3699348482439523E-3</v>
      </c>
      <c r="L87" s="10"/>
    </row>
    <row r="88" spans="1:12" x14ac:dyDescent="0.35">
      <c r="A88" s="1" vm="87">
        <v>45621</v>
      </c>
      <c r="B88" s="5">
        <f ca="1">_xlfn.XLOOKUP(nineZero[[#This Row],[Date]],USDJPY[Date],USDJPY[Change %])</f>
        <v>-3.4251001680237888E-3</v>
      </c>
      <c r="C88" s="5">
        <f ca="1">_xlfn.XLOOKUP(nineZero[[#This Row],[Date]],EURUSD[Date],EURUSD[Change %])</f>
        <v>7.3917634635692038E-3</v>
      </c>
      <c r="D88" s="5">
        <f ca="1">_xlfn.XLOOKUP(nineZero[[#This Row],[Date]],SGDJPY[Date],SGDJPY[Change %])</f>
        <v>-2.9070121659329783E-3</v>
      </c>
      <c r="E88" s="5">
        <f ca="1">_xlfn.XLOOKUP(nineZero[[#This Row],[Date]],GBPUSD[Date],GBPUSD[Change %])</f>
        <v>2.872875269331917E-3</v>
      </c>
      <c r="L88" s="10"/>
    </row>
    <row r="89" spans="1:12" x14ac:dyDescent="0.35">
      <c r="A89" s="1" vm="88">
        <v>45622</v>
      </c>
      <c r="B89" s="5">
        <f ca="1">_xlfn.XLOOKUP(nineZero[[#This Row],[Date]],USDJPY[Date],USDJPY[Change %])</f>
        <v>-7.1979767849037904E-3</v>
      </c>
      <c r="C89" s="5">
        <f ca="1">_xlfn.XLOOKUP(nineZero[[#This Row],[Date]],EURUSD[Date],EURUSD[Change %])</f>
        <v>-7.6234038498202198E-4</v>
      </c>
      <c r="D89" s="5">
        <f ca="1">_xlfn.XLOOKUP(nineZero[[#This Row],[Date]],SGDJPY[Date],SGDJPY[Change %])</f>
        <v>-7.7138213312429446E-3</v>
      </c>
      <c r="E89" s="5">
        <f ca="1">_xlfn.XLOOKUP(nineZero[[#This Row],[Date]],GBPUSD[Date],GBPUSD[Change %])</f>
        <v>7.9573486114417917E-5</v>
      </c>
      <c r="L89" s="10"/>
    </row>
    <row r="90" spans="1:12" x14ac:dyDescent="0.35">
      <c r="A90" s="1" vm="89">
        <v>45623</v>
      </c>
      <c r="B90" s="5">
        <f ca="1">_xlfn.XLOOKUP(nineZero[[#This Row],[Date]],USDJPY[Date],USDJPY[Change %])</f>
        <v>-1.3063357282821686E-2</v>
      </c>
      <c r="C90" s="5">
        <f ca="1">_xlfn.XLOOKUP(nineZero[[#This Row],[Date]],EURUSD[Date],EURUSD[Change %])</f>
        <v>7.4384894144573993E-3</v>
      </c>
      <c r="D90" s="5">
        <f ca="1">_xlfn.XLOOKUP(nineZero[[#This Row],[Date]],SGDJPY[Date],SGDJPY[Change %])</f>
        <v>-8.4256344076941402E-3</v>
      </c>
      <c r="E90" s="5">
        <f ca="1">_xlfn.XLOOKUP(nineZero[[#This Row],[Date]],GBPUSD[Date],GBPUSD[Change %])</f>
        <v>8.7523870146404524E-3</v>
      </c>
      <c r="L90" s="10"/>
    </row>
    <row r="91" spans="1:12" x14ac:dyDescent="0.35">
      <c r="A91" s="1" vm="90">
        <v>45624</v>
      </c>
      <c r="B91" s="5">
        <f ca="1">_xlfn.XLOOKUP(nineZero[[#This Row],[Date]],USDJPY[Date],USDJPY[Change %])</f>
        <v>2.9119788219721891E-3</v>
      </c>
      <c r="C91" s="5">
        <f ca="1">_xlfn.XLOOKUP(nineZero[[#This Row],[Date]],EURUSD[Date],EURUSD[Change %])</f>
        <v>-1.041272245361701E-3</v>
      </c>
      <c r="D91" s="5">
        <f ca="1">_xlfn.XLOOKUP(nineZero[[#This Row],[Date]],SGDJPY[Date],SGDJPY[Change %])</f>
        <v>1.1195972998364714E-3</v>
      </c>
      <c r="E91" s="5">
        <f ca="1">_xlfn.XLOOKUP(nineZero[[#This Row],[Date]],GBPUSD[Date],GBPUSD[Change %])</f>
        <v>7.0989115002358485E-4</v>
      </c>
      <c r="L91" s="10"/>
    </row>
    <row r="92" spans="1:12" x14ac:dyDescent="0.35">
      <c r="L92" s="10"/>
    </row>
    <row r="93" spans="1:12" x14ac:dyDescent="0.35">
      <c r="L93" s="10"/>
    </row>
    <row r="94" spans="1:12" x14ac:dyDescent="0.35">
      <c r="L94" s="10"/>
    </row>
    <row r="95" spans="1:12" x14ac:dyDescent="0.35">
      <c r="L95" s="10"/>
    </row>
    <row r="96" spans="1:12" x14ac:dyDescent="0.35">
      <c r="L96" s="10"/>
    </row>
    <row r="97" spans="12:12" x14ac:dyDescent="0.35">
      <c r="L97" s="10"/>
    </row>
    <row r="98" spans="12:12" x14ac:dyDescent="0.35">
      <c r="L98" s="10"/>
    </row>
    <row r="99" spans="12:12" x14ac:dyDescent="0.35">
      <c r="L99" s="10"/>
    </row>
    <row r="100" spans="12:12" x14ac:dyDescent="0.35">
      <c r="L100" s="10"/>
    </row>
    <row r="101" spans="12:12" x14ac:dyDescent="0.35">
      <c r="L101" s="10"/>
    </row>
    <row r="102" spans="12:12" x14ac:dyDescent="0.35">
      <c r="L102" s="10"/>
    </row>
    <row r="103" spans="12:12" x14ac:dyDescent="0.35">
      <c r="L103" s="10"/>
    </row>
    <row r="104" spans="12:12" x14ac:dyDescent="0.35">
      <c r="L104" s="10"/>
    </row>
    <row r="105" spans="12:12" x14ac:dyDescent="0.35">
      <c r="L105" s="10"/>
    </row>
    <row r="106" spans="12:12" x14ac:dyDescent="0.35">
      <c r="L106" s="10"/>
    </row>
    <row r="107" spans="12:12" x14ac:dyDescent="0.35">
      <c r="L107" s="10"/>
    </row>
    <row r="108" spans="12:12" x14ac:dyDescent="0.35">
      <c r="L108" s="10"/>
    </row>
    <row r="109" spans="12:12" x14ac:dyDescent="0.35">
      <c r="L109" s="10"/>
    </row>
    <row r="110" spans="12:12" x14ac:dyDescent="0.35">
      <c r="L110" s="10"/>
    </row>
    <row r="111" spans="12:12" x14ac:dyDescent="0.35">
      <c r="L111" s="10"/>
    </row>
    <row r="112" spans="12:12" x14ac:dyDescent="0.35">
      <c r="L112" s="10"/>
    </row>
    <row r="113" spans="12:12" x14ac:dyDescent="0.35">
      <c r="L113" s="10"/>
    </row>
    <row r="114" spans="12:12" x14ac:dyDescent="0.35">
      <c r="L114" s="10"/>
    </row>
    <row r="115" spans="12:12" x14ac:dyDescent="0.35">
      <c r="L115" s="10"/>
    </row>
    <row r="116" spans="12:12" x14ac:dyDescent="0.35">
      <c r="L116" s="10"/>
    </row>
    <row r="117" spans="12:12" x14ac:dyDescent="0.35">
      <c r="L117" s="10"/>
    </row>
    <row r="118" spans="12:12" x14ac:dyDescent="0.35">
      <c r="L118" s="10"/>
    </row>
    <row r="119" spans="12:12" x14ac:dyDescent="0.35">
      <c r="L119" s="10"/>
    </row>
    <row r="120" spans="12:12" x14ac:dyDescent="0.35">
      <c r="L120" s="10"/>
    </row>
    <row r="121" spans="12:12" x14ac:dyDescent="0.35">
      <c r="L121" s="10"/>
    </row>
    <row r="122" spans="12:12" x14ac:dyDescent="0.35">
      <c r="L122" s="10"/>
    </row>
    <row r="123" spans="12:12" x14ac:dyDescent="0.35">
      <c r="L123" s="10"/>
    </row>
    <row r="124" spans="12:12" x14ac:dyDescent="0.35">
      <c r="L124" s="10"/>
    </row>
    <row r="125" spans="12:12" x14ac:dyDescent="0.35">
      <c r="L125" s="10"/>
    </row>
    <row r="126" spans="12:12" x14ac:dyDescent="0.35">
      <c r="L126" s="10"/>
    </row>
    <row r="127" spans="12:12" x14ac:dyDescent="0.35">
      <c r="L127" s="10"/>
    </row>
    <row r="128" spans="12:12" x14ac:dyDescent="0.35">
      <c r="L128" s="10"/>
    </row>
    <row r="129" spans="12:12" x14ac:dyDescent="0.35">
      <c r="L129" s="10"/>
    </row>
    <row r="130" spans="12:12" x14ac:dyDescent="0.35">
      <c r="L130" s="10"/>
    </row>
    <row r="131" spans="12:12" x14ac:dyDescent="0.35">
      <c r="L131" s="10"/>
    </row>
    <row r="132" spans="12:12" x14ac:dyDescent="0.35">
      <c r="L132" s="10"/>
    </row>
    <row r="133" spans="12:12" x14ac:dyDescent="0.35">
      <c r="L133" s="10"/>
    </row>
    <row r="134" spans="12:12" x14ac:dyDescent="0.35">
      <c r="L134" s="10"/>
    </row>
    <row r="135" spans="12:12" x14ac:dyDescent="0.35">
      <c r="L135" s="10"/>
    </row>
    <row r="136" spans="12:12" x14ac:dyDescent="0.35">
      <c r="L136" s="10"/>
    </row>
    <row r="137" spans="12:12" x14ac:dyDescent="0.35">
      <c r="L137" s="10"/>
    </row>
    <row r="138" spans="12:12" x14ac:dyDescent="0.35">
      <c r="L138" s="10"/>
    </row>
    <row r="139" spans="12:12" x14ac:dyDescent="0.35">
      <c r="L139" s="10"/>
    </row>
    <row r="140" spans="12:12" x14ac:dyDescent="0.35">
      <c r="L140" s="10"/>
    </row>
    <row r="141" spans="12:12" x14ac:dyDescent="0.35">
      <c r="L141" s="10"/>
    </row>
    <row r="142" spans="12:12" x14ac:dyDescent="0.35">
      <c r="L142" s="10"/>
    </row>
    <row r="143" spans="12:12" x14ac:dyDescent="0.35">
      <c r="L143" s="10"/>
    </row>
    <row r="144" spans="12:12" x14ac:dyDescent="0.35">
      <c r="L144" s="10"/>
    </row>
    <row r="145" spans="12:12" x14ac:dyDescent="0.35">
      <c r="L145" s="10"/>
    </row>
    <row r="146" spans="12:12" x14ac:dyDescent="0.35">
      <c r="L146" s="10"/>
    </row>
    <row r="147" spans="12:12" x14ac:dyDescent="0.35">
      <c r="L147" s="10"/>
    </row>
    <row r="148" spans="12:12" x14ac:dyDescent="0.35">
      <c r="L148" s="10"/>
    </row>
    <row r="149" spans="12:12" x14ac:dyDescent="0.35">
      <c r="L149" s="10"/>
    </row>
    <row r="150" spans="12:12" x14ac:dyDescent="0.35">
      <c r="L150" s="10"/>
    </row>
    <row r="151" spans="12:12" x14ac:dyDescent="0.35">
      <c r="L151" s="10"/>
    </row>
    <row r="152" spans="12:12" x14ac:dyDescent="0.35">
      <c r="L152" s="10"/>
    </row>
    <row r="153" spans="12:12" x14ac:dyDescent="0.35">
      <c r="L153" s="10"/>
    </row>
    <row r="154" spans="12:12" x14ac:dyDescent="0.35">
      <c r="L154" s="10"/>
    </row>
    <row r="155" spans="12:12" x14ac:dyDescent="0.35">
      <c r="L155" s="10"/>
    </row>
    <row r="156" spans="12:12" x14ac:dyDescent="0.35">
      <c r="L156" s="10"/>
    </row>
    <row r="157" spans="12:12" x14ac:dyDescent="0.35">
      <c r="L157" s="10"/>
    </row>
    <row r="158" spans="12:12" x14ac:dyDescent="0.35">
      <c r="L158" s="10"/>
    </row>
    <row r="159" spans="12:12" x14ac:dyDescent="0.35">
      <c r="L159" s="10"/>
    </row>
    <row r="160" spans="12:12" x14ac:dyDescent="0.35">
      <c r="L160" s="10"/>
    </row>
    <row r="161" spans="12:12" x14ac:dyDescent="0.35">
      <c r="L161" s="10"/>
    </row>
    <row r="162" spans="12:12" x14ac:dyDescent="0.35">
      <c r="L162" s="10"/>
    </row>
    <row r="163" spans="12:12" x14ac:dyDescent="0.35">
      <c r="L163" s="10"/>
    </row>
    <row r="164" spans="12:12" x14ac:dyDescent="0.35">
      <c r="L164" s="10"/>
    </row>
    <row r="165" spans="12:12" x14ac:dyDescent="0.35">
      <c r="L165" s="10"/>
    </row>
    <row r="166" spans="12:12" x14ac:dyDescent="0.35">
      <c r="L166" s="10"/>
    </row>
    <row r="167" spans="12:12" x14ac:dyDescent="0.35">
      <c r="L167" s="10"/>
    </row>
    <row r="168" spans="12:12" x14ac:dyDescent="0.35">
      <c r="L168" s="10"/>
    </row>
    <row r="169" spans="12:12" x14ac:dyDescent="0.35">
      <c r="L169" s="10"/>
    </row>
    <row r="170" spans="12:12" x14ac:dyDescent="0.35">
      <c r="L170" s="10"/>
    </row>
    <row r="171" spans="12:12" x14ac:dyDescent="0.35">
      <c r="L171" s="10"/>
    </row>
    <row r="172" spans="12:12" x14ac:dyDescent="0.35">
      <c r="L172" s="10"/>
    </row>
    <row r="173" spans="12:12" x14ac:dyDescent="0.35">
      <c r="L173" s="10"/>
    </row>
    <row r="174" spans="12:12" x14ac:dyDescent="0.35">
      <c r="L174" s="10"/>
    </row>
    <row r="175" spans="12:12" x14ac:dyDescent="0.35">
      <c r="L175" s="10"/>
    </row>
    <row r="176" spans="12:12" x14ac:dyDescent="0.35">
      <c r="L176" s="10"/>
    </row>
    <row r="177" spans="12:12" x14ac:dyDescent="0.35">
      <c r="L177" s="10"/>
    </row>
    <row r="178" spans="12:12" x14ac:dyDescent="0.35">
      <c r="L178" s="10"/>
    </row>
    <row r="179" spans="12:12" x14ac:dyDescent="0.35">
      <c r="L179" s="10"/>
    </row>
    <row r="180" spans="12:12" x14ac:dyDescent="0.35">
      <c r="L180" s="10"/>
    </row>
    <row r="181" spans="12:12" x14ac:dyDescent="0.35">
      <c r="L181" s="10"/>
    </row>
    <row r="182" spans="12:12" x14ac:dyDescent="0.35">
      <c r="L182" s="10"/>
    </row>
    <row r="183" spans="12:12" x14ac:dyDescent="0.35">
      <c r="L183" s="10"/>
    </row>
    <row r="184" spans="12:12" x14ac:dyDescent="0.35">
      <c r="L184" s="10"/>
    </row>
    <row r="185" spans="12:12" x14ac:dyDescent="0.35">
      <c r="L185" s="10"/>
    </row>
    <row r="186" spans="12:12" x14ac:dyDescent="0.35">
      <c r="L186" s="10"/>
    </row>
    <row r="187" spans="12:12" x14ac:dyDescent="0.35">
      <c r="L187" s="10"/>
    </row>
    <row r="188" spans="12:12" x14ac:dyDescent="0.35">
      <c r="L188" s="10"/>
    </row>
    <row r="189" spans="12:12" x14ac:dyDescent="0.35">
      <c r="L189" s="10"/>
    </row>
    <row r="190" spans="12:12" x14ac:dyDescent="0.35">
      <c r="L190" s="10"/>
    </row>
    <row r="191" spans="12:12" x14ac:dyDescent="0.35">
      <c r="L191" s="10"/>
    </row>
    <row r="192" spans="12:12" x14ac:dyDescent="0.35">
      <c r="L192" s="10"/>
    </row>
    <row r="193" spans="12:12" x14ac:dyDescent="0.35">
      <c r="L193" s="10"/>
    </row>
    <row r="194" spans="12:12" x14ac:dyDescent="0.35">
      <c r="L194" s="10"/>
    </row>
    <row r="195" spans="12:12" x14ac:dyDescent="0.35">
      <c r="L195" s="10"/>
    </row>
    <row r="196" spans="12:12" x14ac:dyDescent="0.35">
      <c r="L196" s="10"/>
    </row>
    <row r="197" spans="12:12" x14ac:dyDescent="0.35">
      <c r="L197" s="10"/>
    </row>
    <row r="198" spans="12:12" x14ac:dyDescent="0.35">
      <c r="L198" s="10"/>
    </row>
    <row r="199" spans="12:12" x14ac:dyDescent="0.35">
      <c r="L199" s="10"/>
    </row>
    <row r="200" spans="12:12" x14ac:dyDescent="0.35">
      <c r="L200" s="10"/>
    </row>
    <row r="201" spans="12:12" x14ac:dyDescent="0.35">
      <c r="L201" s="10"/>
    </row>
    <row r="202" spans="12:12" x14ac:dyDescent="0.35">
      <c r="L202" s="10"/>
    </row>
    <row r="203" spans="12:12" x14ac:dyDescent="0.35">
      <c r="L203" s="10"/>
    </row>
    <row r="204" spans="12:12" x14ac:dyDescent="0.35">
      <c r="L204" s="10"/>
    </row>
    <row r="205" spans="12:12" x14ac:dyDescent="0.35">
      <c r="L205" s="10"/>
    </row>
    <row r="206" spans="12:12" x14ac:dyDescent="0.35">
      <c r="L206" s="10"/>
    </row>
    <row r="207" spans="12:12" x14ac:dyDescent="0.35">
      <c r="L207" s="10"/>
    </row>
    <row r="208" spans="12:12" x14ac:dyDescent="0.35">
      <c r="L208" s="10"/>
    </row>
    <row r="209" spans="12:12" x14ac:dyDescent="0.35">
      <c r="L209" s="10"/>
    </row>
    <row r="210" spans="12:12" x14ac:dyDescent="0.35">
      <c r="L210" s="10"/>
    </row>
    <row r="211" spans="12:12" x14ac:dyDescent="0.35">
      <c r="L211" s="10"/>
    </row>
    <row r="212" spans="12:12" x14ac:dyDescent="0.35">
      <c r="L212" s="10"/>
    </row>
    <row r="213" spans="12:12" x14ac:dyDescent="0.35">
      <c r="L213" s="10"/>
    </row>
    <row r="214" spans="12:12" x14ac:dyDescent="0.35">
      <c r="L214" s="10"/>
    </row>
    <row r="215" spans="12:12" x14ac:dyDescent="0.35">
      <c r="L215" s="10"/>
    </row>
    <row r="216" spans="12:12" x14ac:dyDescent="0.35">
      <c r="L216" s="10"/>
    </row>
    <row r="217" spans="12:12" x14ac:dyDescent="0.35">
      <c r="L217" s="10"/>
    </row>
    <row r="218" spans="12:12" x14ac:dyDescent="0.35">
      <c r="L218" s="10"/>
    </row>
    <row r="219" spans="12:12" x14ac:dyDescent="0.35">
      <c r="L219" s="10"/>
    </row>
    <row r="220" spans="12:12" x14ac:dyDescent="0.35">
      <c r="L220" s="10"/>
    </row>
    <row r="221" spans="12:12" x14ac:dyDescent="0.35">
      <c r="L221" s="10"/>
    </row>
    <row r="222" spans="12:12" x14ac:dyDescent="0.35">
      <c r="L222" s="10"/>
    </row>
    <row r="223" spans="12:12" x14ac:dyDescent="0.35">
      <c r="L223" s="10"/>
    </row>
    <row r="224" spans="12:12" x14ac:dyDescent="0.35">
      <c r="L224" s="10"/>
    </row>
    <row r="225" spans="12:12" x14ac:dyDescent="0.35">
      <c r="L225" s="10"/>
    </row>
    <row r="226" spans="12:12" x14ac:dyDescent="0.35">
      <c r="L226" s="10"/>
    </row>
    <row r="227" spans="12:12" x14ac:dyDescent="0.35">
      <c r="L227" s="10"/>
    </row>
    <row r="228" spans="12:12" x14ac:dyDescent="0.35">
      <c r="L228" s="10"/>
    </row>
    <row r="229" spans="12:12" x14ac:dyDescent="0.35">
      <c r="L229" s="10"/>
    </row>
    <row r="230" spans="12:12" x14ac:dyDescent="0.35">
      <c r="L230" s="10"/>
    </row>
    <row r="231" spans="12:12" x14ac:dyDescent="0.35">
      <c r="L231" s="10"/>
    </row>
    <row r="232" spans="12:12" x14ac:dyDescent="0.35">
      <c r="L232" s="10"/>
    </row>
    <row r="233" spans="12:12" x14ac:dyDescent="0.35">
      <c r="L233" s="10"/>
    </row>
    <row r="234" spans="12:12" x14ac:dyDescent="0.35">
      <c r="L234" s="10"/>
    </row>
    <row r="235" spans="12:12" x14ac:dyDescent="0.35">
      <c r="L235" s="10"/>
    </row>
    <row r="236" spans="12:12" x14ac:dyDescent="0.35">
      <c r="L236" s="10"/>
    </row>
    <row r="237" spans="12:12" x14ac:dyDescent="0.35">
      <c r="L237" s="10"/>
    </row>
    <row r="238" spans="12:12" x14ac:dyDescent="0.35">
      <c r="L238" s="10"/>
    </row>
    <row r="239" spans="12:12" x14ac:dyDescent="0.35">
      <c r="L239" s="10"/>
    </row>
    <row r="240" spans="12:12" x14ac:dyDescent="0.35">
      <c r="L240" s="10"/>
    </row>
    <row r="241" spans="12:12" x14ac:dyDescent="0.35">
      <c r="L241" s="10"/>
    </row>
    <row r="242" spans="12:12" x14ac:dyDescent="0.35">
      <c r="L242" s="10"/>
    </row>
    <row r="243" spans="12:12" x14ac:dyDescent="0.35">
      <c r="L243" s="10"/>
    </row>
    <row r="244" spans="12:12" x14ac:dyDescent="0.35">
      <c r="L244" s="10"/>
    </row>
    <row r="245" spans="12:12" x14ac:dyDescent="0.35">
      <c r="L245" s="10"/>
    </row>
    <row r="246" spans="12:12" x14ac:dyDescent="0.35">
      <c r="L246" s="10"/>
    </row>
    <row r="247" spans="12:12" x14ac:dyDescent="0.35">
      <c r="L247" s="10"/>
    </row>
    <row r="248" spans="12:12" x14ac:dyDescent="0.35">
      <c r="L248" s="10"/>
    </row>
    <row r="249" spans="12:12" x14ac:dyDescent="0.35">
      <c r="L249" s="10"/>
    </row>
    <row r="250" spans="12:12" x14ac:dyDescent="0.35">
      <c r="L250" s="10"/>
    </row>
    <row r="251" spans="12:12" x14ac:dyDescent="0.35">
      <c r="L251" s="10"/>
    </row>
    <row r="252" spans="12:12" x14ac:dyDescent="0.35">
      <c r="L252" s="10"/>
    </row>
    <row r="253" spans="12:12" x14ac:dyDescent="0.35">
      <c r="L253" s="10"/>
    </row>
    <row r="254" spans="12:12" x14ac:dyDescent="0.35">
      <c r="L254" s="10"/>
    </row>
    <row r="255" spans="12:12" x14ac:dyDescent="0.35">
      <c r="L255" s="10"/>
    </row>
    <row r="256" spans="12:12" x14ac:dyDescent="0.35">
      <c r="L256" s="10"/>
    </row>
    <row r="257" spans="12:12" x14ac:dyDescent="0.35">
      <c r="L257" s="10"/>
    </row>
    <row r="258" spans="12:12" x14ac:dyDescent="0.35">
      <c r="L258" s="10"/>
    </row>
    <row r="259" spans="12:12" x14ac:dyDescent="0.35">
      <c r="L259" s="10"/>
    </row>
    <row r="260" spans="12:12" x14ac:dyDescent="0.35">
      <c r="L260" s="10"/>
    </row>
    <row r="261" spans="12:12" x14ac:dyDescent="0.35">
      <c r="L261" s="10"/>
    </row>
    <row r="262" spans="12:12" x14ac:dyDescent="0.35">
      <c r="L262" s="10"/>
    </row>
    <row r="263" spans="12:12" x14ac:dyDescent="0.35">
      <c r="L263" s="10"/>
    </row>
    <row r="264" spans="12:12" x14ac:dyDescent="0.35">
      <c r="L264" s="10"/>
    </row>
    <row r="265" spans="12:12" x14ac:dyDescent="0.35">
      <c r="L265" s="10"/>
    </row>
    <row r="266" spans="12:12" x14ac:dyDescent="0.35">
      <c r="L266" s="10"/>
    </row>
    <row r="267" spans="12:12" x14ac:dyDescent="0.35">
      <c r="L267" s="10"/>
    </row>
    <row r="268" spans="12:12" x14ac:dyDescent="0.35">
      <c r="L268" s="10"/>
    </row>
    <row r="269" spans="12:12" x14ac:dyDescent="0.35">
      <c r="L269" s="10"/>
    </row>
    <row r="270" spans="12:12" x14ac:dyDescent="0.35">
      <c r="L270" s="10"/>
    </row>
    <row r="271" spans="12:12" x14ac:dyDescent="0.35">
      <c r="L271" s="10"/>
    </row>
    <row r="272" spans="12:12" x14ac:dyDescent="0.35">
      <c r="L272" s="10"/>
    </row>
    <row r="273" spans="12:12" x14ac:dyDescent="0.35">
      <c r="L273" s="10"/>
    </row>
    <row r="274" spans="12:12" x14ac:dyDescent="0.35">
      <c r="L274" s="10"/>
    </row>
    <row r="275" spans="12:12" x14ac:dyDescent="0.35">
      <c r="L275" s="10"/>
    </row>
    <row r="276" spans="12:12" x14ac:dyDescent="0.35">
      <c r="L276" s="10"/>
    </row>
    <row r="277" spans="12:12" x14ac:dyDescent="0.35">
      <c r="L277" s="10"/>
    </row>
    <row r="278" spans="12:12" x14ac:dyDescent="0.35">
      <c r="L278" s="10"/>
    </row>
    <row r="279" spans="12:12" x14ac:dyDescent="0.35">
      <c r="L279" s="10"/>
    </row>
    <row r="280" spans="12:12" x14ac:dyDescent="0.35">
      <c r="L280" s="10"/>
    </row>
    <row r="281" spans="12:12" x14ac:dyDescent="0.35">
      <c r="L281" s="10"/>
    </row>
    <row r="282" spans="12:12" x14ac:dyDescent="0.35">
      <c r="L282" s="10"/>
    </row>
    <row r="283" spans="12:12" x14ac:dyDescent="0.35">
      <c r="L283" s="10"/>
    </row>
    <row r="284" spans="12:12" x14ac:dyDescent="0.35">
      <c r="L284" s="10"/>
    </row>
    <row r="285" spans="12:12" x14ac:dyDescent="0.35">
      <c r="L285" s="10"/>
    </row>
    <row r="286" spans="12:12" x14ac:dyDescent="0.35">
      <c r="L286" s="10"/>
    </row>
    <row r="287" spans="12:12" x14ac:dyDescent="0.35">
      <c r="L287" s="10"/>
    </row>
    <row r="288" spans="12:12" x14ac:dyDescent="0.35">
      <c r="L288" s="10"/>
    </row>
    <row r="289" spans="12:12" x14ac:dyDescent="0.35">
      <c r="L289" s="10"/>
    </row>
    <row r="290" spans="12:12" x14ac:dyDescent="0.35">
      <c r="L290" s="10"/>
    </row>
    <row r="291" spans="12:12" x14ac:dyDescent="0.35">
      <c r="L291" s="10"/>
    </row>
    <row r="292" spans="12:12" x14ac:dyDescent="0.35">
      <c r="L292" s="10"/>
    </row>
    <row r="293" spans="12:12" x14ac:dyDescent="0.35">
      <c r="L293" s="10"/>
    </row>
    <row r="294" spans="12:12" x14ac:dyDescent="0.35">
      <c r="L294" s="10"/>
    </row>
    <row r="295" spans="12:12" x14ac:dyDescent="0.35">
      <c r="L295" s="10"/>
    </row>
    <row r="296" spans="12:12" x14ac:dyDescent="0.35">
      <c r="L296" s="10"/>
    </row>
    <row r="297" spans="12:12" x14ac:dyDescent="0.35">
      <c r="L297" s="10"/>
    </row>
    <row r="298" spans="12:12" x14ac:dyDescent="0.35">
      <c r="L298" s="10"/>
    </row>
    <row r="299" spans="12:12" x14ac:dyDescent="0.35">
      <c r="L299" s="10"/>
    </row>
    <row r="300" spans="12:12" x14ac:dyDescent="0.35">
      <c r="L300" s="10"/>
    </row>
    <row r="301" spans="12:12" x14ac:dyDescent="0.35">
      <c r="L301" s="10"/>
    </row>
    <row r="302" spans="12:12" x14ac:dyDescent="0.35">
      <c r="L302" s="10"/>
    </row>
    <row r="303" spans="12:12" x14ac:dyDescent="0.35">
      <c r="L303" s="10"/>
    </row>
    <row r="304" spans="12:12" x14ac:dyDescent="0.35">
      <c r="L304" s="10"/>
    </row>
    <row r="305" spans="12:12" x14ac:dyDescent="0.35">
      <c r="L305" s="10"/>
    </row>
    <row r="306" spans="12:12" x14ac:dyDescent="0.35">
      <c r="L306" s="10"/>
    </row>
    <row r="307" spans="12:12" x14ac:dyDescent="0.35">
      <c r="L307" s="10"/>
    </row>
    <row r="308" spans="12:12" x14ac:dyDescent="0.35">
      <c r="L308" s="10"/>
    </row>
    <row r="309" spans="12:12" x14ac:dyDescent="0.35">
      <c r="L309" s="10"/>
    </row>
    <row r="310" spans="12:12" x14ac:dyDescent="0.35">
      <c r="L310" s="10"/>
    </row>
    <row r="311" spans="12:12" x14ac:dyDescent="0.35">
      <c r="L311" s="10"/>
    </row>
    <row r="312" spans="12:12" x14ac:dyDescent="0.35">
      <c r="L312" s="10"/>
    </row>
    <row r="313" spans="12:12" x14ac:dyDescent="0.35">
      <c r="L313" s="10"/>
    </row>
    <row r="314" spans="12:12" x14ac:dyDescent="0.35">
      <c r="L314" s="10"/>
    </row>
    <row r="315" spans="12:12" x14ac:dyDescent="0.35">
      <c r="L315" s="10"/>
    </row>
    <row r="316" spans="12:12" x14ac:dyDescent="0.35">
      <c r="L316" s="10"/>
    </row>
    <row r="317" spans="12:12" x14ac:dyDescent="0.35">
      <c r="L317" s="10"/>
    </row>
    <row r="318" spans="12:12" x14ac:dyDescent="0.35">
      <c r="L318" s="10"/>
    </row>
    <row r="319" spans="12:12" x14ac:dyDescent="0.35">
      <c r="L319" s="10"/>
    </row>
    <row r="320" spans="12:12" x14ac:dyDescent="0.35">
      <c r="L320" s="10"/>
    </row>
    <row r="321" spans="12:12" x14ac:dyDescent="0.35">
      <c r="L321" s="10"/>
    </row>
    <row r="322" spans="12:12" x14ac:dyDescent="0.35">
      <c r="L322" s="10"/>
    </row>
    <row r="323" spans="12:12" x14ac:dyDescent="0.35">
      <c r="L323" s="10"/>
    </row>
    <row r="324" spans="12:12" x14ac:dyDescent="0.35">
      <c r="L324" s="10"/>
    </row>
    <row r="325" spans="12:12" x14ac:dyDescent="0.35">
      <c r="L325" s="10"/>
    </row>
    <row r="326" spans="12:12" x14ac:dyDescent="0.35">
      <c r="L326" s="10"/>
    </row>
    <row r="327" spans="12:12" x14ac:dyDescent="0.35">
      <c r="L327" s="10"/>
    </row>
    <row r="328" spans="12:12" x14ac:dyDescent="0.35">
      <c r="L328" s="10"/>
    </row>
    <row r="329" spans="12:12" x14ac:dyDescent="0.35">
      <c r="L329" s="10"/>
    </row>
    <row r="330" spans="12:12" x14ac:dyDescent="0.35">
      <c r="L330" s="10"/>
    </row>
    <row r="331" spans="12:12" x14ac:dyDescent="0.35">
      <c r="L331" s="10"/>
    </row>
    <row r="332" spans="12:12" x14ac:dyDescent="0.35">
      <c r="L332" s="10"/>
    </row>
    <row r="333" spans="12:12" x14ac:dyDescent="0.35">
      <c r="L333" s="10"/>
    </row>
    <row r="334" spans="12:12" x14ac:dyDescent="0.35">
      <c r="L334" s="10"/>
    </row>
    <row r="335" spans="12:12" x14ac:dyDescent="0.35">
      <c r="L335" s="10"/>
    </row>
    <row r="336" spans="12:12" x14ac:dyDescent="0.35">
      <c r="L336" s="10"/>
    </row>
    <row r="337" spans="12:12" x14ac:dyDescent="0.35">
      <c r="L337" s="10"/>
    </row>
    <row r="338" spans="12:12" x14ac:dyDescent="0.35">
      <c r="L338" s="10"/>
    </row>
    <row r="339" spans="12:12" x14ac:dyDescent="0.35">
      <c r="L339" s="10"/>
    </row>
    <row r="340" spans="12:12" x14ac:dyDescent="0.35">
      <c r="L340" s="10"/>
    </row>
    <row r="341" spans="12:12" x14ac:dyDescent="0.35">
      <c r="L341" s="10"/>
    </row>
    <row r="342" spans="12:12" x14ac:dyDescent="0.35">
      <c r="L342" s="10"/>
    </row>
    <row r="343" spans="12:12" x14ac:dyDescent="0.35">
      <c r="L343" s="10"/>
    </row>
    <row r="344" spans="12:12" x14ac:dyDescent="0.35">
      <c r="L344" s="10"/>
    </row>
    <row r="345" spans="12:12" x14ac:dyDescent="0.35">
      <c r="L345" s="10"/>
    </row>
    <row r="346" spans="12:12" x14ac:dyDescent="0.35">
      <c r="L346" s="10"/>
    </row>
    <row r="347" spans="12:12" x14ac:dyDescent="0.35">
      <c r="L347" s="10"/>
    </row>
    <row r="348" spans="12:12" x14ac:dyDescent="0.35">
      <c r="L348" s="10"/>
    </row>
    <row r="349" spans="12:12" x14ac:dyDescent="0.35">
      <c r="L349" s="10"/>
    </row>
    <row r="350" spans="12:12" x14ac:dyDescent="0.35">
      <c r="L350" s="10"/>
    </row>
    <row r="351" spans="12:12" x14ac:dyDescent="0.35">
      <c r="L351" s="10"/>
    </row>
    <row r="352" spans="12:12" x14ac:dyDescent="0.35">
      <c r="L352" s="10"/>
    </row>
    <row r="353" spans="12:12" x14ac:dyDescent="0.35">
      <c r="L353" s="10"/>
    </row>
    <row r="354" spans="12:12" x14ac:dyDescent="0.35">
      <c r="L354" s="10"/>
    </row>
    <row r="355" spans="12:12" x14ac:dyDescent="0.35">
      <c r="L355" s="10"/>
    </row>
    <row r="356" spans="12:12" x14ac:dyDescent="0.35">
      <c r="L356" s="10"/>
    </row>
    <row r="357" spans="12:12" x14ac:dyDescent="0.35">
      <c r="L357" s="10"/>
    </row>
    <row r="358" spans="12:12" x14ac:dyDescent="0.35">
      <c r="L358" s="10"/>
    </row>
    <row r="359" spans="12:12" x14ac:dyDescent="0.35">
      <c r="L359" s="10"/>
    </row>
    <row r="360" spans="12:12" x14ac:dyDescent="0.35">
      <c r="L360" s="10"/>
    </row>
    <row r="361" spans="12:12" x14ac:dyDescent="0.35">
      <c r="L361" s="10"/>
    </row>
    <row r="362" spans="12:12" x14ac:dyDescent="0.35">
      <c r="L362" s="10"/>
    </row>
    <row r="363" spans="12:12" x14ac:dyDescent="0.35">
      <c r="L363" s="10"/>
    </row>
    <row r="364" spans="12:12" x14ac:dyDescent="0.35">
      <c r="L364" s="10"/>
    </row>
    <row r="365" spans="12:12" x14ac:dyDescent="0.35">
      <c r="L365" s="10"/>
    </row>
    <row r="366" spans="12:12" x14ac:dyDescent="0.35">
      <c r="L366" s="10"/>
    </row>
    <row r="367" spans="12:12" x14ac:dyDescent="0.35">
      <c r="L367" s="10"/>
    </row>
    <row r="368" spans="12:12" x14ac:dyDescent="0.35">
      <c r="L368" s="10"/>
    </row>
    <row r="369" spans="12:12" x14ac:dyDescent="0.35">
      <c r="L369" s="10"/>
    </row>
    <row r="370" spans="12:12" x14ac:dyDescent="0.35">
      <c r="L370" s="10"/>
    </row>
    <row r="371" spans="12:12" x14ac:dyDescent="0.35">
      <c r="L371" s="10"/>
    </row>
    <row r="372" spans="12:12" x14ac:dyDescent="0.35">
      <c r="L372" s="10"/>
    </row>
    <row r="373" spans="12:12" x14ac:dyDescent="0.35">
      <c r="L373" s="10"/>
    </row>
    <row r="374" spans="12:12" x14ac:dyDescent="0.35">
      <c r="L374" s="10"/>
    </row>
    <row r="375" spans="12:12" x14ac:dyDescent="0.35">
      <c r="L375" s="10"/>
    </row>
    <row r="376" spans="12:12" x14ac:dyDescent="0.35">
      <c r="L376" s="10"/>
    </row>
    <row r="377" spans="12:12" x14ac:dyDescent="0.35">
      <c r="L377" s="10"/>
    </row>
    <row r="378" spans="12:12" x14ac:dyDescent="0.35">
      <c r="L378" s="10"/>
    </row>
    <row r="379" spans="12:12" x14ac:dyDescent="0.35">
      <c r="L379" s="10"/>
    </row>
    <row r="380" spans="12:12" x14ac:dyDescent="0.35">
      <c r="L380" s="10"/>
    </row>
    <row r="381" spans="12:12" x14ac:dyDescent="0.35">
      <c r="L381" s="10"/>
    </row>
    <row r="382" spans="12:12" x14ac:dyDescent="0.35">
      <c r="L382" s="10"/>
    </row>
    <row r="383" spans="12:12" x14ac:dyDescent="0.35">
      <c r="L383" s="10"/>
    </row>
    <row r="384" spans="12:12" x14ac:dyDescent="0.35">
      <c r="L384" s="10"/>
    </row>
    <row r="385" spans="12:12" x14ac:dyDescent="0.35">
      <c r="L385" s="10"/>
    </row>
    <row r="386" spans="12:12" x14ac:dyDescent="0.35">
      <c r="L386" s="10"/>
    </row>
    <row r="387" spans="12:12" x14ac:dyDescent="0.35">
      <c r="L387" s="10"/>
    </row>
    <row r="388" spans="12:12" x14ac:dyDescent="0.35">
      <c r="L388" s="10"/>
    </row>
    <row r="389" spans="12:12" x14ac:dyDescent="0.35">
      <c r="L389" s="10"/>
    </row>
    <row r="390" spans="12:12" x14ac:dyDescent="0.35">
      <c r="L390" s="10"/>
    </row>
    <row r="391" spans="12:12" x14ac:dyDescent="0.35">
      <c r="L391" s="10"/>
    </row>
    <row r="392" spans="12:12" x14ac:dyDescent="0.35">
      <c r="L392" s="10"/>
    </row>
    <row r="393" spans="12:12" x14ac:dyDescent="0.35">
      <c r="L393" s="10"/>
    </row>
    <row r="394" spans="12:12" x14ac:dyDescent="0.35">
      <c r="L394" s="10"/>
    </row>
    <row r="395" spans="12:12" x14ac:dyDescent="0.35">
      <c r="L395" s="10"/>
    </row>
    <row r="396" spans="12:12" x14ac:dyDescent="0.35">
      <c r="L396" s="10"/>
    </row>
    <row r="397" spans="12:12" x14ac:dyDescent="0.35">
      <c r="L397" s="10"/>
    </row>
    <row r="398" spans="12:12" x14ac:dyDescent="0.35">
      <c r="L398" s="10"/>
    </row>
    <row r="399" spans="12:12" x14ac:dyDescent="0.35">
      <c r="L399" s="10"/>
    </row>
    <row r="400" spans="12:12" x14ac:dyDescent="0.35">
      <c r="L400" s="10"/>
    </row>
    <row r="401" spans="12:12" x14ac:dyDescent="0.35">
      <c r="L401" s="10"/>
    </row>
    <row r="402" spans="12:12" x14ac:dyDescent="0.35">
      <c r="L402" s="10"/>
    </row>
    <row r="403" spans="12:12" x14ac:dyDescent="0.35">
      <c r="L403" s="10"/>
    </row>
    <row r="404" spans="12:12" x14ac:dyDescent="0.35">
      <c r="L404" s="10"/>
    </row>
    <row r="405" spans="12:12" x14ac:dyDescent="0.35">
      <c r="L405" s="10"/>
    </row>
    <row r="406" spans="12:12" x14ac:dyDescent="0.35">
      <c r="L406" s="10"/>
    </row>
    <row r="407" spans="12:12" x14ac:dyDescent="0.35">
      <c r="L407" s="10"/>
    </row>
    <row r="408" spans="12:12" x14ac:dyDescent="0.35">
      <c r="L408" s="10"/>
    </row>
    <row r="409" spans="12:12" x14ac:dyDescent="0.35">
      <c r="L409" s="10"/>
    </row>
    <row r="410" spans="12:12" x14ac:dyDescent="0.35">
      <c r="L410" s="10"/>
    </row>
    <row r="411" spans="12:12" x14ac:dyDescent="0.35">
      <c r="L411" s="10"/>
    </row>
    <row r="412" spans="12:12" x14ac:dyDescent="0.35">
      <c r="L412" s="10"/>
    </row>
    <row r="413" spans="12:12" x14ac:dyDescent="0.35">
      <c r="L413" s="10"/>
    </row>
    <row r="414" spans="12:12" x14ac:dyDescent="0.35">
      <c r="L414" s="10"/>
    </row>
    <row r="415" spans="12:12" x14ac:dyDescent="0.35">
      <c r="L415" s="10"/>
    </row>
    <row r="416" spans="12:12" x14ac:dyDescent="0.35">
      <c r="L416" s="10"/>
    </row>
    <row r="417" spans="12:12" x14ac:dyDescent="0.35">
      <c r="L417" s="10"/>
    </row>
    <row r="418" spans="12:12" x14ac:dyDescent="0.35">
      <c r="L418" s="10"/>
    </row>
    <row r="419" spans="12:12" x14ac:dyDescent="0.35">
      <c r="L419" s="10"/>
    </row>
    <row r="420" spans="12:12" x14ac:dyDescent="0.35">
      <c r="L420" s="10"/>
    </row>
    <row r="421" spans="12:12" x14ac:dyDescent="0.35">
      <c r="L421" s="10"/>
    </row>
    <row r="422" spans="12:12" x14ac:dyDescent="0.35">
      <c r="L422" s="10"/>
    </row>
    <row r="423" spans="12:12" x14ac:dyDescent="0.35">
      <c r="L423" s="10"/>
    </row>
    <row r="424" spans="12:12" x14ac:dyDescent="0.35">
      <c r="L424" s="10"/>
    </row>
    <row r="425" spans="12:12" x14ac:dyDescent="0.35">
      <c r="L425" s="10"/>
    </row>
    <row r="426" spans="12:12" x14ac:dyDescent="0.35">
      <c r="L426" s="10"/>
    </row>
    <row r="427" spans="12:12" x14ac:dyDescent="0.35">
      <c r="L427" s="10"/>
    </row>
    <row r="428" spans="12:12" x14ac:dyDescent="0.35">
      <c r="L428" s="10"/>
    </row>
    <row r="429" spans="12:12" x14ac:dyDescent="0.35">
      <c r="L429" s="10"/>
    </row>
    <row r="430" spans="12:12" x14ac:dyDescent="0.35">
      <c r="L430" s="10"/>
    </row>
    <row r="431" spans="12:12" x14ac:dyDescent="0.35">
      <c r="L431" s="10"/>
    </row>
    <row r="432" spans="12:12" x14ac:dyDescent="0.35">
      <c r="L432" s="10"/>
    </row>
    <row r="433" spans="12:12" x14ac:dyDescent="0.35">
      <c r="L433" s="10"/>
    </row>
    <row r="434" spans="12:12" x14ac:dyDescent="0.35">
      <c r="L434" s="10"/>
    </row>
    <row r="435" spans="12:12" x14ac:dyDescent="0.35">
      <c r="L435" s="10"/>
    </row>
    <row r="436" spans="12:12" x14ac:dyDescent="0.35">
      <c r="L436" s="10"/>
    </row>
    <row r="437" spans="12:12" x14ac:dyDescent="0.35">
      <c r="L437" s="10"/>
    </row>
    <row r="438" spans="12:12" x14ac:dyDescent="0.35">
      <c r="L438" s="10"/>
    </row>
    <row r="439" spans="12:12" x14ac:dyDescent="0.35">
      <c r="L439" s="10"/>
    </row>
    <row r="440" spans="12:12" x14ac:dyDescent="0.35">
      <c r="L440" s="10"/>
    </row>
    <row r="441" spans="12:12" x14ac:dyDescent="0.35">
      <c r="L441" s="10"/>
    </row>
    <row r="442" spans="12:12" x14ac:dyDescent="0.35">
      <c r="L442" s="10"/>
    </row>
    <row r="443" spans="12:12" x14ac:dyDescent="0.35">
      <c r="L443" s="10"/>
    </row>
    <row r="444" spans="12:12" x14ac:dyDescent="0.35">
      <c r="L444" s="10"/>
    </row>
    <row r="445" spans="12:12" x14ac:dyDescent="0.35">
      <c r="L445" s="10"/>
    </row>
    <row r="446" spans="12:12" x14ac:dyDescent="0.35">
      <c r="L446" s="10"/>
    </row>
    <row r="447" spans="12:12" x14ac:dyDescent="0.35">
      <c r="L447" s="10"/>
    </row>
    <row r="448" spans="12:12" x14ac:dyDescent="0.35">
      <c r="L448" s="10"/>
    </row>
    <row r="449" spans="12:12" x14ac:dyDescent="0.35">
      <c r="L449" s="10"/>
    </row>
    <row r="450" spans="12:12" x14ac:dyDescent="0.35">
      <c r="L450" s="10"/>
    </row>
    <row r="451" spans="12:12" x14ac:dyDescent="0.35">
      <c r="L451" s="10"/>
    </row>
    <row r="452" spans="12:12" x14ac:dyDescent="0.35">
      <c r="L452" s="10"/>
    </row>
    <row r="453" spans="12:12" x14ac:dyDescent="0.35">
      <c r="L453" s="10"/>
    </row>
    <row r="454" spans="12:12" x14ac:dyDescent="0.35">
      <c r="L454" s="10"/>
    </row>
    <row r="455" spans="12:12" x14ac:dyDescent="0.35">
      <c r="L455" s="10"/>
    </row>
    <row r="456" spans="12:12" x14ac:dyDescent="0.35">
      <c r="L456" s="10"/>
    </row>
    <row r="457" spans="12:12" x14ac:dyDescent="0.35">
      <c r="L457" s="10"/>
    </row>
    <row r="458" spans="12:12" x14ac:dyDescent="0.35">
      <c r="L458" s="10"/>
    </row>
    <row r="459" spans="12:12" x14ac:dyDescent="0.35">
      <c r="L459" s="10"/>
    </row>
    <row r="460" spans="12:12" x14ac:dyDescent="0.35">
      <c r="L460" s="10"/>
    </row>
    <row r="461" spans="12:12" x14ac:dyDescent="0.35">
      <c r="L461" s="10"/>
    </row>
    <row r="462" spans="12:12" x14ac:dyDescent="0.35">
      <c r="L462" s="10"/>
    </row>
    <row r="463" spans="12:12" x14ac:dyDescent="0.35">
      <c r="L463" s="10"/>
    </row>
    <row r="464" spans="12:12" x14ac:dyDescent="0.35">
      <c r="L464" s="10"/>
    </row>
    <row r="465" spans="12:12" x14ac:dyDescent="0.35">
      <c r="L465" s="10"/>
    </row>
    <row r="466" spans="12:12" x14ac:dyDescent="0.35">
      <c r="L466" s="10"/>
    </row>
    <row r="467" spans="12:12" x14ac:dyDescent="0.35">
      <c r="L467" s="10"/>
    </row>
    <row r="468" spans="12:12" x14ac:dyDescent="0.35">
      <c r="L468" s="10"/>
    </row>
    <row r="469" spans="12:12" x14ac:dyDescent="0.35">
      <c r="L469" s="10"/>
    </row>
    <row r="470" spans="12:12" x14ac:dyDescent="0.35">
      <c r="L470" s="10"/>
    </row>
    <row r="471" spans="12:12" x14ac:dyDescent="0.35">
      <c r="L471" s="10"/>
    </row>
    <row r="472" spans="12:12" x14ac:dyDescent="0.35">
      <c r="L472" s="10"/>
    </row>
    <row r="473" spans="12:12" x14ac:dyDescent="0.35">
      <c r="L473" s="10"/>
    </row>
    <row r="474" spans="12:12" x14ac:dyDescent="0.35">
      <c r="L474" s="10"/>
    </row>
    <row r="475" spans="12:12" x14ac:dyDescent="0.35">
      <c r="L475" s="10"/>
    </row>
    <row r="476" spans="12:12" x14ac:dyDescent="0.35">
      <c r="L476" s="10"/>
    </row>
    <row r="477" spans="12:12" x14ac:dyDescent="0.35">
      <c r="L477" s="10"/>
    </row>
    <row r="478" spans="12:12" x14ac:dyDescent="0.35">
      <c r="L478" s="10"/>
    </row>
    <row r="479" spans="12:12" x14ac:dyDescent="0.35">
      <c r="L479" s="10"/>
    </row>
    <row r="480" spans="12:12" x14ac:dyDescent="0.35">
      <c r="L480" s="10"/>
    </row>
    <row r="481" spans="12:12" x14ac:dyDescent="0.35">
      <c r="L481" s="10"/>
    </row>
    <row r="482" spans="12:12" x14ac:dyDescent="0.35">
      <c r="L482" s="10"/>
    </row>
    <row r="483" spans="12:12" x14ac:dyDescent="0.35">
      <c r="L483" s="10"/>
    </row>
    <row r="484" spans="12:12" x14ac:dyDescent="0.35">
      <c r="L484" s="10"/>
    </row>
    <row r="485" spans="12:12" x14ac:dyDescent="0.35">
      <c r="L485" s="10"/>
    </row>
    <row r="486" spans="12:12" x14ac:dyDescent="0.35">
      <c r="L486" s="10"/>
    </row>
    <row r="487" spans="12:12" x14ac:dyDescent="0.35">
      <c r="L487" s="10"/>
    </row>
    <row r="488" spans="12:12" x14ac:dyDescent="0.35">
      <c r="L488" s="10"/>
    </row>
    <row r="489" spans="12:12" x14ac:dyDescent="0.35">
      <c r="L489" s="10"/>
    </row>
    <row r="490" spans="12:12" x14ac:dyDescent="0.35">
      <c r="L490" s="10"/>
    </row>
    <row r="491" spans="12:12" x14ac:dyDescent="0.35">
      <c r="L491" s="10"/>
    </row>
    <row r="492" spans="12:12" x14ac:dyDescent="0.35">
      <c r="L492" s="10"/>
    </row>
    <row r="493" spans="12:12" x14ac:dyDescent="0.35">
      <c r="L493" s="10"/>
    </row>
    <row r="494" spans="12:12" x14ac:dyDescent="0.35">
      <c r="L494" s="10"/>
    </row>
    <row r="495" spans="12:12" x14ac:dyDescent="0.35">
      <c r="L495" s="10"/>
    </row>
    <row r="496" spans="12:12" x14ac:dyDescent="0.35">
      <c r="L496" s="10"/>
    </row>
    <row r="497" spans="12:12" x14ac:dyDescent="0.35">
      <c r="L497" s="10"/>
    </row>
    <row r="498" spans="12:12" x14ac:dyDescent="0.35">
      <c r="L498" s="10"/>
    </row>
    <row r="499" spans="12:12" x14ac:dyDescent="0.35">
      <c r="L499" s="10"/>
    </row>
    <row r="500" spans="12:12" x14ac:dyDescent="0.35">
      <c r="L500" s="10"/>
    </row>
    <row r="501" spans="12:12" x14ac:dyDescent="0.35">
      <c r="L501" s="10"/>
    </row>
    <row r="502" spans="12:12" x14ac:dyDescent="0.35">
      <c r="L502" s="10"/>
    </row>
    <row r="503" spans="12:12" x14ac:dyDescent="0.35">
      <c r="L503" s="10"/>
    </row>
    <row r="504" spans="12:12" x14ac:dyDescent="0.35">
      <c r="L504" s="10"/>
    </row>
    <row r="505" spans="12:12" x14ac:dyDescent="0.35">
      <c r="L505" s="10"/>
    </row>
    <row r="506" spans="12:12" x14ac:dyDescent="0.35">
      <c r="L506" s="10"/>
    </row>
    <row r="507" spans="12:12" x14ac:dyDescent="0.35">
      <c r="L507" s="10"/>
    </row>
    <row r="508" spans="12:12" x14ac:dyDescent="0.35">
      <c r="L508" s="10"/>
    </row>
    <row r="509" spans="12:12" x14ac:dyDescent="0.35">
      <c r="L509" s="10"/>
    </row>
    <row r="510" spans="12:12" x14ac:dyDescent="0.35">
      <c r="L510" s="10"/>
    </row>
    <row r="511" spans="12:12" x14ac:dyDescent="0.35">
      <c r="L511" s="10"/>
    </row>
    <row r="512" spans="12:12" x14ac:dyDescent="0.35">
      <c r="L512" s="10"/>
    </row>
    <row r="513" spans="12:12" x14ac:dyDescent="0.35">
      <c r="L513" s="10"/>
    </row>
    <row r="514" spans="12:12" x14ac:dyDescent="0.35">
      <c r="L514" s="10"/>
    </row>
    <row r="515" spans="12:12" x14ac:dyDescent="0.35">
      <c r="L515" s="10"/>
    </row>
    <row r="516" spans="12:12" x14ac:dyDescent="0.35">
      <c r="L516" s="10"/>
    </row>
    <row r="517" spans="12:12" x14ac:dyDescent="0.35">
      <c r="L517" s="10"/>
    </row>
    <row r="518" spans="12:12" x14ac:dyDescent="0.35">
      <c r="L518" s="10"/>
    </row>
    <row r="519" spans="12:12" x14ac:dyDescent="0.35">
      <c r="L519" s="10"/>
    </row>
    <row r="520" spans="12:12" x14ac:dyDescent="0.35">
      <c r="L520" s="10"/>
    </row>
    <row r="521" spans="12:12" x14ac:dyDescent="0.35">
      <c r="L521" s="10"/>
    </row>
    <row r="522" spans="12:12" x14ac:dyDescent="0.35">
      <c r="L522" s="10"/>
    </row>
    <row r="523" spans="12:12" x14ac:dyDescent="0.35">
      <c r="L523" s="10"/>
    </row>
    <row r="524" spans="12:12" x14ac:dyDescent="0.35">
      <c r="L524" s="10"/>
    </row>
    <row r="525" spans="12:12" x14ac:dyDescent="0.35">
      <c r="L525" s="10"/>
    </row>
    <row r="526" spans="12:12" x14ac:dyDescent="0.35">
      <c r="L526" s="10"/>
    </row>
    <row r="527" spans="12:12" x14ac:dyDescent="0.35">
      <c r="L527" s="10"/>
    </row>
    <row r="528" spans="12:12" x14ac:dyDescent="0.35">
      <c r="L528" s="10"/>
    </row>
    <row r="529" spans="12:12" x14ac:dyDescent="0.35">
      <c r="L529" s="10"/>
    </row>
    <row r="530" spans="12:12" x14ac:dyDescent="0.35">
      <c r="L530" s="10"/>
    </row>
    <row r="531" spans="12:12" x14ac:dyDescent="0.35">
      <c r="L531" s="10"/>
    </row>
    <row r="532" spans="12:12" x14ac:dyDescent="0.35">
      <c r="L532" s="10"/>
    </row>
    <row r="533" spans="12:12" x14ac:dyDescent="0.35">
      <c r="L533" s="10"/>
    </row>
    <row r="534" spans="12:12" x14ac:dyDescent="0.35">
      <c r="L534" s="10"/>
    </row>
    <row r="535" spans="12:12" x14ac:dyDescent="0.35">
      <c r="L535" s="10"/>
    </row>
    <row r="536" spans="12:12" x14ac:dyDescent="0.35">
      <c r="L536" s="10"/>
    </row>
    <row r="537" spans="12:12" x14ac:dyDescent="0.35">
      <c r="L537" s="10"/>
    </row>
    <row r="538" spans="12:12" x14ac:dyDescent="0.35">
      <c r="L538" s="10"/>
    </row>
    <row r="539" spans="12:12" x14ac:dyDescent="0.35">
      <c r="L539" s="10"/>
    </row>
    <row r="540" spans="12:12" x14ac:dyDescent="0.35">
      <c r="L540" s="10"/>
    </row>
    <row r="541" spans="12:12" x14ac:dyDescent="0.35">
      <c r="L541" s="10"/>
    </row>
    <row r="542" spans="12:12" x14ac:dyDescent="0.35">
      <c r="L542" s="10"/>
    </row>
    <row r="543" spans="12:12" x14ac:dyDescent="0.35">
      <c r="L543" s="10"/>
    </row>
    <row r="544" spans="12:12" x14ac:dyDescent="0.35">
      <c r="L544" s="10"/>
    </row>
    <row r="545" spans="12:12" x14ac:dyDescent="0.35">
      <c r="L545" s="10"/>
    </row>
    <row r="546" spans="12:12" x14ac:dyDescent="0.35">
      <c r="L546" s="10"/>
    </row>
    <row r="547" spans="12:12" x14ac:dyDescent="0.35">
      <c r="L547" s="10"/>
    </row>
    <row r="548" spans="12:12" x14ac:dyDescent="0.35">
      <c r="L548" s="10"/>
    </row>
    <row r="549" spans="12:12" x14ac:dyDescent="0.35">
      <c r="L549" s="10"/>
    </row>
    <row r="550" spans="12:12" x14ac:dyDescent="0.35">
      <c r="L550" s="10"/>
    </row>
    <row r="551" spans="12:12" x14ac:dyDescent="0.35">
      <c r="L551" s="10"/>
    </row>
    <row r="552" spans="12:12" x14ac:dyDescent="0.35">
      <c r="L552" s="10"/>
    </row>
    <row r="553" spans="12:12" x14ac:dyDescent="0.35">
      <c r="L553" s="10"/>
    </row>
    <row r="554" spans="12:12" x14ac:dyDescent="0.35">
      <c r="L554" s="10"/>
    </row>
    <row r="555" spans="12:12" x14ac:dyDescent="0.35">
      <c r="L555" s="10"/>
    </row>
    <row r="556" spans="12:12" x14ac:dyDescent="0.35">
      <c r="L556" s="10"/>
    </row>
    <row r="557" spans="12:12" x14ac:dyDescent="0.35">
      <c r="L557" s="10"/>
    </row>
    <row r="558" spans="12:12" x14ac:dyDescent="0.35">
      <c r="L558" s="10"/>
    </row>
    <row r="559" spans="12:12" x14ac:dyDescent="0.35">
      <c r="L559" s="10"/>
    </row>
    <row r="560" spans="12:12" x14ac:dyDescent="0.35">
      <c r="L560" s="10"/>
    </row>
    <row r="561" spans="12:12" x14ac:dyDescent="0.35">
      <c r="L561" s="10"/>
    </row>
    <row r="562" spans="12:12" x14ac:dyDescent="0.35">
      <c r="L562" s="10"/>
    </row>
    <row r="563" spans="12:12" x14ac:dyDescent="0.35">
      <c r="L563" s="10"/>
    </row>
    <row r="564" spans="12:12" x14ac:dyDescent="0.35">
      <c r="L564" s="10"/>
    </row>
    <row r="565" spans="12:12" x14ac:dyDescent="0.35">
      <c r="L565" s="10"/>
    </row>
    <row r="566" spans="12:12" x14ac:dyDescent="0.35">
      <c r="L566" s="10"/>
    </row>
    <row r="567" spans="12:12" x14ac:dyDescent="0.35">
      <c r="L567" s="10"/>
    </row>
    <row r="568" spans="12:12" x14ac:dyDescent="0.35">
      <c r="L568" s="10"/>
    </row>
    <row r="569" spans="12:12" x14ac:dyDescent="0.35">
      <c r="L569" s="10"/>
    </row>
    <row r="570" spans="12:12" x14ac:dyDescent="0.35">
      <c r="L570" s="10"/>
    </row>
    <row r="571" spans="12:12" x14ac:dyDescent="0.35">
      <c r="L571" s="10"/>
    </row>
    <row r="572" spans="12:12" x14ac:dyDescent="0.35">
      <c r="L572" s="10"/>
    </row>
    <row r="573" spans="12:12" x14ac:dyDescent="0.35">
      <c r="L573" s="10"/>
    </row>
    <row r="574" spans="12:12" x14ac:dyDescent="0.35">
      <c r="L574" s="10"/>
    </row>
    <row r="575" spans="12:12" x14ac:dyDescent="0.35">
      <c r="L575" s="10"/>
    </row>
    <row r="576" spans="12:12" x14ac:dyDescent="0.35">
      <c r="L576" s="10"/>
    </row>
    <row r="577" spans="12:12" x14ac:dyDescent="0.35">
      <c r="L577" s="10"/>
    </row>
    <row r="578" spans="12:12" x14ac:dyDescent="0.35">
      <c r="L578" s="10"/>
    </row>
    <row r="579" spans="12:12" x14ac:dyDescent="0.35">
      <c r="L579" s="10"/>
    </row>
    <row r="580" spans="12:12" x14ac:dyDescent="0.35">
      <c r="L580" s="10"/>
    </row>
    <row r="581" spans="12:12" x14ac:dyDescent="0.35">
      <c r="L581" s="10"/>
    </row>
    <row r="582" spans="12:12" x14ac:dyDescent="0.35">
      <c r="L582" s="10"/>
    </row>
    <row r="583" spans="12:12" x14ac:dyDescent="0.35">
      <c r="L583" s="10"/>
    </row>
    <row r="584" spans="12:12" x14ac:dyDescent="0.35">
      <c r="L584" s="10"/>
    </row>
    <row r="585" spans="12:12" x14ac:dyDescent="0.35">
      <c r="L585" s="10"/>
    </row>
    <row r="586" spans="12:12" x14ac:dyDescent="0.35">
      <c r="L586" s="10"/>
    </row>
    <row r="587" spans="12:12" x14ac:dyDescent="0.35">
      <c r="L587" s="10"/>
    </row>
    <row r="588" spans="12:12" x14ac:dyDescent="0.35">
      <c r="L588" s="10"/>
    </row>
    <row r="589" spans="12:12" x14ac:dyDescent="0.35">
      <c r="L589" s="10"/>
    </row>
    <row r="590" spans="12:12" x14ac:dyDescent="0.35">
      <c r="L590" s="10"/>
    </row>
    <row r="591" spans="12:12" x14ac:dyDescent="0.35">
      <c r="L591" s="10"/>
    </row>
    <row r="592" spans="12:12" x14ac:dyDescent="0.35">
      <c r="L592" s="10"/>
    </row>
    <row r="593" spans="12:12" x14ac:dyDescent="0.35">
      <c r="L593" s="10"/>
    </row>
    <row r="594" spans="12:12" x14ac:dyDescent="0.35">
      <c r="L594" s="10"/>
    </row>
    <row r="595" spans="12:12" x14ac:dyDescent="0.35">
      <c r="L595" s="10"/>
    </row>
    <row r="596" spans="12:12" x14ac:dyDescent="0.35">
      <c r="L596" s="10"/>
    </row>
    <row r="597" spans="12:12" x14ac:dyDescent="0.35">
      <c r="L597" s="10"/>
    </row>
    <row r="598" spans="12:12" x14ac:dyDescent="0.35">
      <c r="L598" s="10"/>
    </row>
    <row r="599" spans="12:12" x14ac:dyDescent="0.35">
      <c r="L599" s="10"/>
    </row>
    <row r="600" spans="12:12" x14ac:dyDescent="0.35">
      <c r="L600" s="10"/>
    </row>
    <row r="601" spans="12:12" x14ac:dyDescent="0.35">
      <c r="L601" s="10"/>
    </row>
    <row r="602" spans="12:12" x14ac:dyDescent="0.35">
      <c r="L602" s="10"/>
    </row>
    <row r="603" spans="12:12" x14ac:dyDescent="0.35">
      <c r="L603" s="10"/>
    </row>
    <row r="604" spans="12:12" x14ac:dyDescent="0.35">
      <c r="L604" s="10"/>
    </row>
    <row r="605" spans="12:12" x14ac:dyDescent="0.35">
      <c r="L605" s="10"/>
    </row>
    <row r="606" spans="12:12" x14ac:dyDescent="0.35">
      <c r="L606" s="10"/>
    </row>
    <row r="607" spans="12:12" x14ac:dyDescent="0.35">
      <c r="L607" s="10"/>
    </row>
    <row r="608" spans="12:12" x14ac:dyDescent="0.35">
      <c r="L608" s="10"/>
    </row>
    <row r="609" spans="12:12" x14ac:dyDescent="0.35">
      <c r="L609" s="10"/>
    </row>
    <row r="610" spans="12:12" x14ac:dyDescent="0.35">
      <c r="L610" s="10"/>
    </row>
    <row r="611" spans="12:12" x14ac:dyDescent="0.35">
      <c r="L611" s="10"/>
    </row>
    <row r="612" spans="12:12" x14ac:dyDescent="0.35">
      <c r="L612" s="10"/>
    </row>
    <row r="613" spans="12:12" x14ac:dyDescent="0.35">
      <c r="L613" s="10"/>
    </row>
    <row r="614" spans="12:12" x14ac:dyDescent="0.35">
      <c r="L614" s="10"/>
    </row>
    <row r="615" spans="12:12" x14ac:dyDescent="0.35">
      <c r="L615" s="10"/>
    </row>
    <row r="616" spans="12:12" x14ac:dyDescent="0.35">
      <c r="L616" s="10"/>
    </row>
    <row r="617" spans="12:12" x14ac:dyDescent="0.35">
      <c r="L617" s="10"/>
    </row>
    <row r="618" spans="12:12" x14ac:dyDescent="0.35">
      <c r="L618" s="10"/>
    </row>
    <row r="619" spans="12:12" x14ac:dyDescent="0.35">
      <c r="L619" s="10"/>
    </row>
    <row r="620" spans="12:12" x14ac:dyDescent="0.35">
      <c r="L620" s="10"/>
    </row>
    <row r="621" spans="12:12" x14ac:dyDescent="0.35">
      <c r="L621" s="10"/>
    </row>
    <row r="622" spans="12:12" x14ac:dyDescent="0.35">
      <c r="L622" s="10"/>
    </row>
    <row r="623" spans="12:12" x14ac:dyDescent="0.35">
      <c r="L623" s="10"/>
    </row>
    <row r="624" spans="12:12" x14ac:dyDescent="0.35">
      <c r="L624" s="10"/>
    </row>
    <row r="625" spans="12:12" x14ac:dyDescent="0.35">
      <c r="L625" s="10"/>
    </row>
    <row r="626" spans="12:12" x14ac:dyDescent="0.35">
      <c r="L626" s="10"/>
    </row>
    <row r="627" spans="12:12" x14ac:dyDescent="0.35">
      <c r="L627" s="10"/>
    </row>
    <row r="628" spans="12:12" x14ac:dyDescent="0.35">
      <c r="L628" s="10"/>
    </row>
    <row r="629" spans="12:12" x14ac:dyDescent="0.35">
      <c r="L629" s="10"/>
    </row>
    <row r="630" spans="12:12" x14ac:dyDescent="0.35">
      <c r="L630" s="10"/>
    </row>
    <row r="631" spans="12:12" x14ac:dyDescent="0.35">
      <c r="L631" s="10"/>
    </row>
    <row r="632" spans="12:12" x14ac:dyDescent="0.35">
      <c r="L632" s="10"/>
    </row>
    <row r="633" spans="12:12" x14ac:dyDescent="0.35">
      <c r="L633" s="10"/>
    </row>
    <row r="634" spans="12:12" x14ac:dyDescent="0.35">
      <c r="L634" s="10"/>
    </row>
    <row r="635" spans="12:12" x14ac:dyDescent="0.35">
      <c r="L635" s="10"/>
    </row>
    <row r="636" spans="12:12" x14ac:dyDescent="0.35">
      <c r="L636" s="10"/>
    </row>
    <row r="637" spans="12:12" x14ac:dyDescent="0.35">
      <c r="L637" s="10"/>
    </row>
    <row r="638" spans="12:12" x14ac:dyDescent="0.35">
      <c r="L638" s="10"/>
    </row>
    <row r="639" spans="12:12" x14ac:dyDescent="0.35">
      <c r="L639" s="10"/>
    </row>
    <row r="640" spans="12:12" x14ac:dyDescent="0.35">
      <c r="L640" s="10"/>
    </row>
    <row r="641" spans="12:12" x14ac:dyDescent="0.35">
      <c r="L641" s="10"/>
    </row>
    <row r="642" spans="12:12" x14ac:dyDescent="0.35">
      <c r="L642" s="10"/>
    </row>
    <row r="643" spans="12:12" x14ac:dyDescent="0.35">
      <c r="L643" s="10"/>
    </row>
    <row r="644" spans="12:12" x14ac:dyDescent="0.35">
      <c r="L644" s="10"/>
    </row>
    <row r="645" spans="12:12" x14ac:dyDescent="0.35">
      <c r="L645" s="10"/>
    </row>
    <row r="646" spans="12:12" x14ac:dyDescent="0.35">
      <c r="L646" s="10"/>
    </row>
    <row r="647" spans="12:12" x14ac:dyDescent="0.35">
      <c r="L647" s="10"/>
    </row>
    <row r="648" spans="12:12" x14ac:dyDescent="0.35">
      <c r="L648" s="10"/>
    </row>
    <row r="649" spans="12:12" x14ac:dyDescent="0.35">
      <c r="L649" s="10"/>
    </row>
    <row r="650" spans="12:12" x14ac:dyDescent="0.35">
      <c r="L650" s="10"/>
    </row>
    <row r="651" spans="12:12" x14ac:dyDescent="0.35">
      <c r="L651" s="10"/>
    </row>
    <row r="652" spans="12:12" x14ac:dyDescent="0.35">
      <c r="L652" s="10"/>
    </row>
    <row r="653" spans="12:12" x14ac:dyDescent="0.35">
      <c r="L653" s="10"/>
    </row>
    <row r="654" spans="12:12" x14ac:dyDescent="0.35">
      <c r="L654" s="10"/>
    </row>
    <row r="655" spans="12:12" x14ac:dyDescent="0.35">
      <c r="L655" s="10"/>
    </row>
    <row r="656" spans="12:12" x14ac:dyDescent="0.35">
      <c r="L656" s="10"/>
    </row>
    <row r="657" spans="12:12" x14ac:dyDescent="0.35">
      <c r="L657" s="10"/>
    </row>
    <row r="658" spans="12:12" x14ac:dyDescent="0.35">
      <c r="L658" s="10"/>
    </row>
    <row r="659" spans="12:12" x14ac:dyDescent="0.35">
      <c r="L659" s="10"/>
    </row>
    <row r="660" spans="12:12" x14ac:dyDescent="0.35">
      <c r="L660" s="10"/>
    </row>
    <row r="661" spans="12:12" x14ac:dyDescent="0.35">
      <c r="L661" s="10"/>
    </row>
    <row r="662" spans="12:12" x14ac:dyDescent="0.35">
      <c r="L662" s="10"/>
    </row>
    <row r="663" spans="12:12" x14ac:dyDescent="0.35">
      <c r="L663" s="10"/>
    </row>
    <row r="664" spans="12:12" x14ac:dyDescent="0.35">
      <c r="L664" s="10"/>
    </row>
    <row r="665" spans="12:12" x14ac:dyDescent="0.35">
      <c r="L665" s="10"/>
    </row>
    <row r="666" spans="12:12" x14ac:dyDescent="0.35">
      <c r="L666" s="10"/>
    </row>
    <row r="667" spans="12:12" x14ac:dyDescent="0.35">
      <c r="L667" s="10"/>
    </row>
    <row r="668" spans="12:12" x14ac:dyDescent="0.35">
      <c r="L668" s="10"/>
    </row>
    <row r="669" spans="12:12" x14ac:dyDescent="0.35">
      <c r="L669" s="10"/>
    </row>
    <row r="670" spans="12:12" x14ac:dyDescent="0.35">
      <c r="L670" s="10"/>
    </row>
    <row r="671" spans="12:12" x14ac:dyDescent="0.35">
      <c r="L671" s="10"/>
    </row>
    <row r="672" spans="12:12" x14ac:dyDescent="0.35">
      <c r="L672" s="10"/>
    </row>
    <row r="673" spans="12:12" x14ac:dyDescent="0.35">
      <c r="L673" s="10"/>
    </row>
    <row r="674" spans="12:12" x14ac:dyDescent="0.35">
      <c r="L674" s="10"/>
    </row>
    <row r="675" spans="12:12" x14ac:dyDescent="0.35">
      <c r="L675" s="10"/>
    </row>
    <row r="676" spans="12:12" x14ac:dyDescent="0.35">
      <c r="L676" s="10"/>
    </row>
    <row r="677" spans="12:12" x14ac:dyDescent="0.35">
      <c r="L677" s="10"/>
    </row>
    <row r="678" spans="12:12" x14ac:dyDescent="0.35">
      <c r="L678" s="10"/>
    </row>
    <row r="679" spans="12:12" x14ac:dyDescent="0.35">
      <c r="L679" s="10"/>
    </row>
    <row r="680" spans="12:12" x14ac:dyDescent="0.35">
      <c r="L680" s="10"/>
    </row>
    <row r="681" spans="12:12" x14ac:dyDescent="0.35">
      <c r="L681" s="10"/>
    </row>
    <row r="682" spans="12:12" x14ac:dyDescent="0.35">
      <c r="L682" s="10"/>
    </row>
    <row r="683" spans="12:12" x14ac:dyDescent="0.35">
      <c r="L683" s="10"/>
    </row>
    <row r="684" spans="12:12" x14ac:dyDescent="0.35">
      <c r="L684" s="10"/>
    </row>
    <row r="685" spans="12:12" x14ac:dyDescent="0.35">
      <c r="L685" s="10"/>
    </row>
    <row r="686" spans="12:12" x14ac:dyDescent="0.35">
      <c r="L686" s="10"/>
    </row>
    <row r="687" spans="12:12" x14ac:dyDescent="0.35">
      <c r="L687" s="10"/>
    </row>
    <row r="688" spans="12:12" x14ac:dyDescent="0.35">
      <c r="L688" s="10"/>
    </row>
    <row r="689" spans="12:12" x14ac:dyDescent="0.35">
      <c r="L689" s="10"/>
    </row>
    <row r="690" spans="12:12" x14ac:dyDescent="0.35">
      <c r="L690" s="10"/>
    </row>
    <row r="691" spans="12:12" x14ac:dyDescent="0.35">
      <c r="L691" s="10"/>
    </row>
    <row r="692" spans="12:12" x14ac:dyDescent="0.35">
      <c r="L692" s="10"/>
    </row>
    <row r="693" spans="12:12" x14ac:dyDescent="0.35">
      <c r="L693" s="10"/>
    </row>
    <row r="694" spans="12:12" x14ac:dyDescent="0.35">
      <c r="L694" s="10"/>
    </row>
    <row r="695" spans="12:12" x14ac:dyDescent="0.35">
      <c r="L695" s="10"/>
    </row>
    <row r="696" spans="12:12" x14ac:dyDescent="0.35">
      <c r="L696" s="10"/>
    </row>
    <row r="697" spans="12:12" x14ac:dyDescent="0.35">
      <c r="L697" s="10"/>
    </row>
    <row r="698" spans="12:12" x14ac:dyDescent="0.35">
      <c r="L698" s="10"/>
    </row>
    <row r="699" spans="12:12" x14ac:dyDescent="0.35">
      <c r="L699" s="10"/>
    </row>
    <row r="700" spans="12:12" x14ac:dyDescent="0.35">
      <c r="L700" s="10"/>
    </row>
    <row r="701" spans="12:12" x14ac:dyDescent="0.35">
      <c r="L701" s="10"/>
    </row>
    <row r="702" spans="12:12" x14ac:dyDescent="0.35">
      <c r="L702" s="10"/>
    </row>
    <row r="703" spans="12:12" x14ac:dyDescent="0.35">
      <c r="L703" s="10"/>
    </row>
    <row r="704" spans="12:12" x14ac:dyDescent="0.35">
      <c r="L704" s="10"/>
    </row>
    <row r="705" spans="12:12" x14ac:dyDescent="0.35">
      <c r="L705" s="10"/>
    </row>
    <row r="706" spans="12:12" x14ac:dyDescent="0.35">
      <c r="L706" s="10"/>
    </row>
    <row r="707" spans="12:12" x14ac:dyDescent="0.35">
      <c r="L707" s="10"/>
    </row>
    <row r="708" spans="12:12" x14ac:dyDescent="0.35">
      <c r="L708" s="10"/>
    </row>
    <row r="709" spans="12:12" x14ac:dyDescent="0.35">
      <c r="L709" s="10"/>
    </row>
    <row r="710" spans="12:12" x14ac:dyDescent="0.35">
      <c r="L710" s="10"/>
    </row>
    <row r="711" spans="12:12" x14ac:dyDescent="0.35">
      <c r="L711" s="10"/>
    </row>
    <row r="712" spans="12:12" x14ac:dyDescent="0.35">
      <c r="L712" s="10"/>
    </row>
    <row r="713" spans="12:12" x14ac:dyDescent="0.35">
      <c r="L713" s="10"/>
    </row>
    <row r="714" spans="12:12" x14ac:dyDescent="0.35">
      <c r="L714" s="10"/>
    </row>
    <row r="715" spans="12:12" x14ac:dyDescent="0.35">
      <c r="L715" s="10"/>
    </row>
    <row r="716" spans="12:12" x14ac:dyDescent="0.35">
      <c r="L716" s="10"/>
    </row>
    <row r="717" spans="12:12" x14ac:dyDescent="0.35">
      <c r="L717" s="10"/>
    </row>
    <row r="718" spans="12:12" x14ac:dyDescent="0.35">
      <c r="L718" s="10"/>
    </row>
    <row r="719" spans="12:12" x14ac:dyDescent="0.35">
      <c r="L719" s="10"/>
    </row>
    <row r="720" spans="12:12" x14ac:dyDescent="0.35">
      <c r="L720" s="10"/>
    </row>
    <row r="721" spans="12:12" x14ac:dyDescent="0.35">
      <c r="L721" s="10"/>
    </row>
    <row r="722" spans="12:12" x14ac:dyDescent="0.35">
      <c r="L722" s="10"/>
    </row>
    <row r="723" spans="12:12" x14ac:dyDescent="0.35">
      <c r="L723" s="10"/>
    </row>
    <row r="724" spans="12:12" x14ac:dyDescent="0.35">
      <c r="L724" s="10"/>
    </row>
    <row r="725" spans="12:12" x14ac:dyDescent="0.35">
      <c r="L725" s="10"/>
    </row>
    <row r="726" spans="12:12" x14ac:dyDescent="0.35">
      <c r="L726" s="10"/>
    </row>
    <row r="727" spans="12:12" x14ac:dyDescent="0.35">
      <c r="L727" s="10"/>
    </row>
    <row r="728" spans="12:12" x14ac:dyDescent="0.35">
      <c r="L728" s="10"/>
    </row>
    <row r="729" spans="12:12" x14ac:dyDescent="0.35">
      <c r="L729" s="10"/>
    </row>
    <row r="730" spans="12:12" x14ac:dyDescent="0.35">
      <c r="L730" s="10"/>
    </row>
    <row r="731" spans="12:12" x14ac:dyDescent="0.35">
      <c r="L731" s="10"/>
    </row>
    <row r="732" spans="12:12" x14ac:dyDescent="0.35">
      <c r="L732" s="10"/>
    </row>
    <row r="733" spans="12:12" x14ac:dyDescent="0.35">
      <c r="L733" s="10"/>
    </row>
    <row r="734" spans="12:12" x14ac:dyDescent="0.35">
      <c r="L734" s="10"/>
    </row>
    <row r="735" spans="12:12" x14ac:dyDescent="0.35">
      <c r="L735" s="10"/>
    </row>
    <row r="736" spans="12:12" x14ac:dyDescent="0.35">
      <c r="L736" s="10"/>
    </row>
    <row r="737" spans="12:12" x14ac:dyDescent="0.35">
      <c r="L737" s="10"/>
    </row>
    <row r="738" spans="12:12" x14ac:dyDescent="0.35">
      <c r="L738" s="10"/>
    </row>
    <row r="739" spans="12:12" x14ac:dyDescent="0.35">
      <c r="L739" s="10"/>
    </row>
    <row r="740" spans="12:12" x14ac:dyDescent="0.35">
      <c r="L740" s="10"/>
    </row>
    <row r="741" spans="12:12" x14ac:dyDescent="0.35">
      <c r="L741" s="10"/>
    </row>
    <row r="742" spans="12:12" x14ac:dyDescent="0.35">
      <c r="L742" s="10"/>
    </row>
    <row r="743" spans="12:12" x14ac:dyDescent="0.35">
      <c r="L743" s="10"/>
    </row>
    <row r="744" spans="12:12" x14ac:dyDescent="0.35">
      <c r="L744" s="10"/>
    </row>
    <row r="745" spans="12:12" x14ac:dyDescent="0.35">
      <c r="L745" s="10"/>
    </row>
    <row r="746" spans="12:12" x14ac:dyDescent="0.35">
      <c r="L746" s="10"/>
    </row>
    <row r="747" spans="12:12" x14ac:dyDescent="0.35">
      <c r="L747" s="10"/>
    </row>
    <row r="748" spans="12:12" x14ac:dyDescent="0.35">
      <c r="L748" s="10"/>
    </row>
    <row r="749" spans="12:12" x14ac:dyDescent="0.35">
      <c r="L749" s="10"/>
    </row>
    <row r="750" spans="12:12" x14ac:dyDescent="0.35">
      <c r="L750" s="10"/>
    </row>
    <row r="751" spans="12:12" x14ac:dyDescent="0.35">
      <c r="L751" s="10"/>
    </row>
    <row r="752" spans="12:12" x14ac:dyDescent="0.35">
      <c r="L752" s="10"/>
    </row>
    <row r="753" spans="12:12" x14ac:dyDescent="0.35">
      <c r="L753" s="10"/>
    </row>
    <row r="754" spans="12:12" x14ac:dyDescent="0.35">
      <c r="L754" s="10"/>
    </row>
    <row r="755" spans="12:12" x14ac:dyDescent="0.35">
      <c r="L755" s="10"/>
    </row>
    <row r="756" spans="12:12" x14ac:dyDescent="0.35">
      <c r="L756" s="10"/>
    </row>
    <row r="757" spans="12:12" x14ac:dyDescent="0.35">
      <c r="L757" s="10"/>
    </row>
    <row r="758" spans="12:12" x14ac:dyDescent="0.35">
      <c r="L758" s="10"/>
    </row>
    <row r="759" spans="12:12" x14ac:dyDescent="0.35">
      <c r="L759" s="10"/>
    </row>
    <row r="760" spans="12:12" x14ac:dyDescent="0.35">
      <c r="L760" s="10"/>
    </row>
    <row r="761" spans="12:12" x14ac:dyDescent="0.35">
      <c r="L761" s="10"/>
    </row>
    <row r="762" spans="12:12" x14ac:dyDescent="0.35">
      <c r="L762" s="10"/>
    </row>
    <row r="763" spans="12:12" x14ac:dyDescent="0.35">
      <c r="L763" s="10"/>
    </row>
    <row r="764" spans="12:12" x14ac:dyDescent="0.35">
      <c r="L764" s="10"/>
    </row>
    <row r="765" spans="12:12" x14ac:dyDescent="0.35">
      <c r="L765" s="10"/>
    </row>
    <row r="766" spans="12:12" x14ac:dyDescent="0.35">
      <c r="L766" s="10"/>
    </row>
    <row r="767" spans="12:12" x14ac:dyDescent="0.35">
      <c r="L767" s="10"/>
    </row>
    <row r="768" spans="12:12" x14ac:dyDescent="0.35">
      <c r="L768" s="10"/>
    </row>
    <row r="769" spans="12:12" x14ac:dyDescent="0.35">
      <c r="L769" s="10"/>
    </row>
    <row r="770" spans="12:12" x14ac:dyDescent="0.35">
      <c r="L770" s="10"/>
    </row>
    <row r="771" spans="12:12" x14ac:dyDescent="0.35">
      <c r="L771" s="10"/>
    </row>
    <row r="772" spans="12:12" x14ac:dyDescent="0.35">
      <c r="L772" s="10"/>
    </row>
    <row r="773" spans="12:12" x14ac:dyDescent="0.35">
      <c r="L773" s="10"/>
    </row>
    <row r="774" spans="12:12" x14ac:dyDescent="0.35">
      <c r="L774" s="10"/>
    </row>
    <row r="775" spans="12:12" x14ac:dyDescent="0.35">
      <c r="L775" s="10"/>
    </row>
    <row r="776" spans="12:12" x14ac:dyDescent="0.35">
      <c r="L776" s="10"/>
    </row>
    <row r="777" spans="12:12" x14ac:dyDescent="0.35">
      <c r="L777" s="10"/>
    </row>
    <row r="778" spans="12:12" x14ac:dyDescent="0.35">
      <c r="L778" s="10"/>
    </row>
    <row r="779" spans="12:12" x14ac:dyDescent="0.35">
      <c r="L779" s="10"/>
    </row>
    <row r="780" spans="12:12" x14ac:dyDescent="0.35">
      <c r="L780" s="10"/>
    </row>
    <row r="781" spans="12:12" x14ac:dyDescent="0.35">
      <c r="L781" s="10"/>
    </row>
    <row r="782" spans="12:12" x14ac:dyDescent="0.35">
      <c r="L782" s="10"/>
    </row>
    <row r="783" spans="12:12" x14ac:dyDescent="0.35">
      <c r="L783" s="10"/>
    </row>
    <row r="784" spans="12:12" x14ac:dyDescent="0.35">
      <c r="L784" s="10"/>
    </row>
    <row r="785" spans="12:12" x14ac:dyDescent="0.35">
      <c r="L785" s="10"/>
    </row>
    <row r="786" spans="12:12" x14ac:dyDescent="0.35">
      <c r="L786" s="10"/>
    </row>
    <row r="787" spans="12:12" x14ac:dyDescent="0.35">
      <c r="L787" s="10"/>
    </row>
    <row r="788" spans="12:12" x14ac:dyDescent="0.35">
      <c r="L788" s="10"/>
    </row>
    <row r="789" spans="12:12" x14ac:dyDescent="0.35">
      <c r="L789" s="10"/>
    </row>
    <row r="790" spans="12:12" x14ac:dyDescent="0.35">
      <c r="L790" s="10"/>
    </row>
    <row r="791" spans="12:12" x14ac:dyDescent="0.35">
      <c r="L791" s="10"/>
    </row>
    <row r="792" spans="12:12" x14ac:dyDescent="0.35">
      <c r="L792" s="10"/>
    </row>
    <row r="793" spans="12:12" x14ac:dyDescent="0.35">
      <c r="L793" s="10"/>
    </row>
    <row r="794" spans="12:12" x14ac:dyDescent="0.35">
      <c r="L794" s="10"/>
    </row>
    <row r="795" spans="12:12" x14ac:dyDescent="0.35">
      <c r="L795" s="10"/>
    </row>
    <row r="796" spans="12:12" x14ac:dyDescent="0.35">
      <c r="L796" s="10"/>
    </row>
    <row r="797" spans="12:12" x14ac:dyDescent="0.35">
      <c r="L797" s="10"/>
    </row>
    <row r="798" spans="12:12" x14ac:dyDescent="0.35">
      <c r="L798" s="10"/>
    </row>
    <row r="799" spans="12:12" x14ac:dyDescent="0.35">
      <c r="L799" s="10"/>
    </row>
    <row r="800" spans="12:12" x14ac:dyDescent="0.35">
      <c r="L800" s="10"/>
    </row>
    <row r="801" spans="12:12" x14ac:dyDescent="0.35">
      <c r="L801" s="10"/>
    </row>
    <row r="802" spans="12:12" x14ac:dyDescent="0.35">
      <c r="L802" s="10"/>
    </row>
    <row r="803" spans="12:12" x14ac:dyDescent="0.35">
      <c r="L803" s="10"/>
    </row>
    <row r="804" spans="12:12" x14ac:dyDescent="0.35">
      <c r="L804" s="10"/>
    </row>
    <row r="805" spans="12:12" x14ac:dyDescent="0.35">
      <c r="L805" s="10"/>
    </row>
    <row r="806" spans="12:12" x14ac:dyDescent="0.35">
      <c r="L806" s="10"/>
    </row>
    <row r="807" spans="12:12" x14ac:dyDescent="0.35">
      <c r="L807" s="10"/>
    </row>
    <row r="808" spans="12:12" x14ac:dyDescent="0.35">
      <c r="L808" s="10"/>
    </row>
    <row r="809" spans="12:12" x14ac:dyDescent="0.35">
      <c r="L809" s="10"/>
    </row>
    <row r="810" spans="12:12" x14ac:dyDescent="0.35">
      <c r="L810" s="10"/>
    </row>
    <row r="811" spans="12:12" x14ac:dyDescent="0.35">
      <c r="L811" s="10"/>
    </row>
    <row r="812" spans="12:12" x14ac:dyDescent="0.35">
      <c r="L812" s="10"/>
    </row>
    <row r="813" spans="12:12" x14ac:dyDescent="0.35">
      <c r="L813" s="10"/>
    </row>
    <row r="814" spans="12:12" x14ac:dyDescent="0.35">
      <c r="L814" s="10"/>
    </row>
    <row r="815" spans="12:12" x14ac:dyDescent="0.35">
      <c r="L815" s="10"/>
    </row>
    <row r="816" spans="12:12" x14ac:dyDescent="0.35">
      <c r="L816" s="10"/>
    </row>
    <row r="817" spans="12:12" x14ac:dyDescent="0.35">
      <c r="L817" s="10"/>
    </row>
    <row r="818" spans="12:12" x14ac:dyDescent="0.35">
      <c r="L818" s="10"/>
    </row>
    <row r="819" spans="12:12" x14ac:dyDescent="0.35">
      <c r="L819" s="10"/>
    </row>
    <row r="820" spans="12:12" x14ac:dyDescent="0.35">
      <c r="L820" s="10"/>
    </row>
    <row r="821" spans="12:12" x14ac:dyDescent="0.35">
      <c r="L821" s="10"/>
    </row>
    <row r="822" spans="12:12" x14ac:dyDescent="0.35">
      <c r="L822" s="10"/>
    </row>
    <row r="823" spans="12:12" x14ac:dyDescent="0.35">
      <c r="L823" s="10"/>
    </row>
    <row r="824" spans="12:12" x14ac:dyDescent="0.35">
      <c r="L824" s="10"/>
    </row>
    <row r="825" spans="12:12" x14ac:dyDescent="0.35">
      <c r="L825" s="10"/>
    </row>
    <row r="826" spans="12:12" x14ac:dyDescent="0.35">
      <c r="L826" s="10"/>
    </row>
    <row r="827" spans="12:12" x14ac:dyDescent="0.35">
      <c r="L827" s="10"/>
    </row>
    <row r="828" spans="12:12" x14ac:dyDescent="0.35">
      <c r="L828" s="10"/>
    </row>
    <row r="829" spans="12:12" x14ac:dyDescent="0.35">
      <c r="L829" s="10"/>
    </row>
    <row r="830" spans="12:12" x14ac:dyDescent="0.35">
      <c r="L830" s="10"/>
    </row>
    <row r="831" spans="12:12" x14ac:dyDescent="0.35">
      <c r="L831" s="10"/>
    </row>
    <row r="832" spans="12:12" x14ac:dyDescent="0.35">
      <c r="L832" s="10"/>
    </row>
    <row r="833" spans="12:12" x14ac:dyDescent="0.35">
      <c r="L833" s="10"/>
    </row>
    <row r="834" spans="12:12" x14ac:dyDescent="0.35">
      <c r="L834" s="10"/>
    </row>
    <row r="835" spans="12:12" x14ac:dyDescent="0.35">
      <c r="L835" s="10"/>
    </row>
    <row r="836" spans="12:12" x14ac:dyDescent="0.35">
      <c r="L836" s="10"/>
    </row>
    <row r="837" spans="12:12" x14ac:dyDescent="0.35">
      <c r="L837" s="10"/>
    </row>
    <row r="838" spans="12:12" x14ac:dyDescent="0.35">
      <c r="L838" s="10"/>
    </row>
    <row r="839" spans="12:12" x14ac:dyDescent="0.35">
      <c r="L839" s="10"/>
    </row>
    <row r="840" spans="12:12" x14ac:dyDescent="0.35">
      <c r="L840" s="10"/>
    </row>
    <row r="841" spans="12:12" x14ac:dyDescent="0.35">
      <c r="L841" s="10"/>
    </row>
    <row r="842" spans="12:12" x14ac:dyDescent="0.35">
      <c r="L842" s="10"/>
    </row>
    <row r="843" spans="12:12" x14ac:dyDescent="0.35">
      <c r="L843" s="10"/>
    </row>
    <row r="844" spans="12:12" x14ac:dyDescent="0.35">
      <c r="L844" s="10"/>
    </row>
    <row r="845" spans="12:12" x14ac:dyDescent="0.35">
      <c r="L845" s="10"/>
    </row>
    <row r="846" spans="12:12" x14ac:dyDescent="0.35">
      <c r="L846" s="10"/>
    </row>
    <row r="847" spans="12:12" x14ac:dyDescent="0.35">
      <c r="L847" s="10"/>
    </row>
    <row r="848" spans="12:12" x14ac:dyDescent="0.35">
      <c r="L848" s="10"/>
    </row>
    <row r="849" spans="12:12" x14ac:dyDescent="0.35">
      <c r="L849" s="10"/>
    </row>
    <row r="850" spans="12:12" x14ac:dyDescent="0.35">
      <c r="L850" s="10"/>
    </row>
    <row r="851" spans="12:12" x14ac:dyDescent="0.35">
      <c r="L851" s="10"/>
    </row>
    <row r="852" spans="12:12" x14ac:dyDescent="0.35">
      <c r="L852" s="10"/>
    </row>
    <row r="853" spans="12:12" x14ac:dyDescent="0.35">
      <c r="L853" s="10"/>
    </row>
    <row r="854" spans="12:12" x14ac:dyDescent="0.35">
      <c r="L854" s="10"/>
    </row>
    <row r="855" spans="12:12" x14ac:dyDescent="0.35">
      <c r="L855" s="10"/>
    </row>
    <row r="856" spans="12:12" x14ac:dyDescent="0.35">
      <c r="L856" s="10"/>
    </row>
    <row r="857" spans="12:12" x14ac:dyDescent="0.35">
      <c r="L857" s="10"/>
    </row>
    <row r="858" spans="12:12" x14ac:dyDescent="0.35">
      <c r="L858" s="10"/>
    </row>
    <row r="859" spans="12:12" x14ac:dyDescent="0.35">
      <c r="L859" s="10"/>
    </row>
    <row r="860" spans="12:12" x14ac:dyDescent="0.35">
      <c r="L860" s="10"/>
    </row>
    <row r="861" spans="12:12" x14ac:dyDescent="0.35">
      <c r="L861" s="10"/>
    </row>
    <row r="862" spans="12:12" x14ac:dyDescent="0.35">
      <c r="L862" s="10"/>
    </row>
    <row r="863" spans="12:12" x14ac:dyDescent="0.35">
      <c r="L863" s="10"/>
    </row>
    <row r="864" spans="12:12" x14ac:dyDescent="0.35">
      <c r="L864" s="10"/>
    </row>
    <row r="865" spans="12:12" x14ac:dyDescent="0.35">
      <c r="L865" s="10"/>
    </row>
    <row r="866" spans="12:12" x14ac:dyDescent="0.35">
      <c r="L866" s="10"/>
    </row>
    <row r="867" spans="12:12" x14ac:dyDescent="0.35">
      <c r="L867" s="10"/>
    </row>
    <row r="868" spans="12:12" x14ac:dyDescent="0.35">
      <c r="L868" s="10"/>
    </row>
    <row r="869" spans="12:12" x14ac:dyDescent="0.35">
      <c r="L869" s="10"/>
    </row>
    <row r="870" spans="12:12" x14ac:dyDescent="0.35">
      <c r="L870" s="10"/>
    </row>
    <row r="871" spans="12:12" x14ac:dyDescent="0.35">
      <c r="L871" s="10"/>
    </row>
    <row r="872" spans="12:12" x14ac:dyDescent="0.35">
      <c r="L872" s="10"/>
    </row>
    <row r="873" spans="12:12" x14ac:dyDescent="0.35">
      <c r="L873" s="10"/>
    </row>
    <row r="874" spans="12:12" x14ac:dyDescent="0.35">
      <c r="L874" s="10"/>
    </row>
    <row r="875" spans="12:12" x14ac:dyDescent="0.35">
      <c r="L875" s="10"/>
    </row>
    <row r="876" spans="12:12" x14ac:dyDescent="0.35">
      <c r="L876" s="10"/>
    </row>
    <row r="877" spans="12:12" x14ac:dyDescent="0.35">
      <c r="L877" s="10"/>
    </row>
    <row r="878" spans="12:12" x14ac:dyDescent="0.35">
      <c r="L878" s="10"/>
    </row>
    <row r="879" spans="12:12" x14ac:dyDescent="0.35">
      <c r="L879" s="10"/>
    </row>
    <row r="880" spans="12:12" x14ac:dyDescent="0.35">
      <c r="L880" s="10"/>
    </row>
    <row r="881" spans="12:12" x14ac:dyDescent="0.35">
      <c r="L881" s="10"/>
    </row>
    <row r="882" spans="12:12" x14ac:dyDescent="0.35">
      <c r="L882" s="10"/>
    </row>
    <row r="883" spans="12:12" x14ac:dyDescent="0.35">
      <c r="L883" s="10"/>
    </row>
    <row r="884" spans="12:12" x14ac:dyDescent="0.35">
      <c r="L884" s="10"/>
    </row>
    <row r="885" spans="12:12" x14ac:dyDescent="0.35">
      <c r="L885" s="10"/>
    </row>
    <row r="886" spans="12:12" x14ac:dyDescent="0.35">
      <c r="L886" s="10"/>
    </row>
    <row r="887" spans="12:12" x14ac:dyDescent="0.35">
      <c r="L887" s="10"/>
    </row>
    <row r="888" spans="12:12" x14ac:dyDescent="0.35">
      <c r="L888" s="10"/>
    </row>
    <row r="889" spans="12:12" x14ac:dyDescent="0.35">
      <c r="L889" s="10"/>
    </row>
    <row r="890" spans="12:12" x14ac:dyDescent="0.35">
      <c r="L890" s="10"/>
    </row>
    <row r="891" spans="12:12" x14ac:dyDescent="0.35">
      <c r="L891" s="10"/>
    </row>
    <row r="892" spans="12:12" x14ac:dyDescent="0.35">
      <c r="L892" s="10"/>
    </row>
    <row r="893" spans="12:12" x14ac:dyDescent="0.35">
      <c r="L893" s="10"/>
    </row>
    <row r="894" spans="12:12" x14ac:dyDescent="0.35">
      <c r="L894" s="10"/>
    </row>
    <row r="895" spans="12:12" x14ac:dyDescent="0.35">
      <c r="L895" s="10"/>
    </row>
    <row r="896" spans="12:12" x14ac:dyDescent="0.35">
      <c r="L896" s="10"/>
    </row>
    <row r="897" spans="12:12" x14ac:dyDescent="0.35">
      <c r="L897" s="10"/>
    </row>
    <row r="898" spans="12:12" x14ac:dyDescent="0.35">
      <c r="L898" s="10"/>
    </row>
    <row r="899" spans="12:12" x14ac:dyDescent="0.35">
      <c r="L899" s="10"/>
    </row>
    <row r="900" spans="12:12" x14ac:dyDescent="0.35">
      <c r="L900" s="10"/>
    </row>
    <row r="901" spans="12:12" x14ac:dyDescent="0.35">
      <c r="L901" s="10"/>
    </row>
    <row r="902" spans="12:12" x14ac:dyDescent="0.35">
      <c r="L902" s="10"/>
    </row>
    <row r="903" spans="12:12" x14ac:dyDescent="0.35">
      <c r="L903" s="10"/>
    </row>
    <row r="904" spans="12:12" x14ac:dyDescent="0.35">
      <c r="L904" s="10"/>
    </row>
    <row r="905" spans="12:12" x14ac:dyDescent="0.35">
      <c r="L905" s="10"/>
    </row>
    <row r="906" spans="12:12" x14ac:dyDescent="0.35">
      <c r="L906" s="10"/>
    </row>
    <row r="907" spans="12:12" x14ac:dyDescent="0.35">
      <c r="L907" s="10"/>
    </row>
    <row r="908" spans="12:12" x14ac:dyDescent="0.35">
      <c r="L908" s="10"/>
    </row>
    <row r="909" spans="12:12" x14ac:dyDescent="0.35">
      <c r="L909" s="10"/>
    </row>
    <row r="910" spans="12:12" x14ac:dyDescent="0.35">
      <c r="L910" s="10"/>
    </row>
    <row r="911" spans="12:12" x14ac:dyDescent="0.35">
      <c r="L911" s="10"/>
    </row>
    <row r="912" spans="12:12" x14ac:dyDescent="0.35">
      <c r="L912" s="10"/>
    </row>
    <row r="913" spans="12:12" x14ac:dyDescent="0.35">
      <c r="L913" s="10"/>
    </row>
    <row r="914" spans="12:12" x14ac:dyDescent="0.35">
      <c r="L914" s="10"/>
    </row>
    <row r="915" spans="12:12" x14ac:dyDescent="0.35">
      <c r="L915" s="10"/>
    </row>
    <row r="916" spans="12:12" x14ac:dyDescent="0.35">
      <c r="L916" s="10"/>
    </row>
    <row r="917" spans="12:12" x14ac:dyDescent="0.35">
      <c r="L917" s="10"/>
    </row>
    <row r="918" spans="12:12" x14ac:dyDescent="0.35">
      <c r="L918" s="10"/>
    </row>
    <row r="919" spans="12:12" x14ac:dyDescent="0.35">
      <c r="L919" s="10"/>
    </row>
    <row r="920" spans="12:12" x14ac:dyDescent="0.35">
      <c r="L920" s="10"/>
    </row>
    <row r="921" spans="12:12" x14ac:dyDescent="0.35">
      <c r="L921" s="10"/>
    </row>
    <row r="922" spans="12:12" x14ac:dyDescent="0.35">
      <c r="L922" s="10"/>
    </row>
    <row r="923" spans="12:12" x14ac:dyDescent="0.35">
      <c r="L923" s="10"/>
    </row>
    <row r="924" spans="12:12" x14ac:dyDescent="0.35">
      <c r="L924" s="10"/>
    </row>
    <row r="925" spans="12:12" x14ac:dyDescent="0.35">
      <c r="L925" s="10"/>
    </row>
    <row r="926" spans="12:12" x14ac:dyDescent="0.35">
      <c r="L926" s="10"/>
    </row>
    <row r="927" spans="12:12" x14ac:dyDescent="0.35">
      <c r="L927" s="10"/>
    </row>
    <row r="928" spans="12:12" x14ac:dyDescent="0.35">
      <c r="L928" s="10"/>
    </row>
    <row r="929" spans="12:12" x14ac:dyDescent="0.35">
      <c r="L929" s="10"/>
    </row>
    <row r="930" spans="12:12" x14ac:dyDescent="0.35">
      <c r="L930" s="10"/>
    </row>
    <row r="931" spans="12:12" x14ac:dyDescent="0.35">
      <c r="L931" s="10"/>
    </row>
    <row r="932" spans="12:12" x14ac:dyDescent="0.35">
      <c r="L932" s="10"/>
    </row>
    <row r="933" spans="12:12" x14ac:dyDescent="0.35">
      <c r="L933" s="10"/>
    </row>
    <row r="934" spans="12:12" x14ac:dyDescent="0.35">
      <c r="L934" s="10"/>
    </row>
    <row r="935" spans="12:12" x14ac:dyDescent="0.35">
      <c r="L935" s="10"/>
    </row>
    <row r="936" spans="12:12" x14ac:dyDescent="0.35">
      <c r="L936" s="10"/>
    </row>
    <row r="937" spans="12:12" x14ac:dyDescent="0.35">
      <c r="L937" s="10"/>
    </row>
    <row r="938" spans="12:12" x14ac:dyDescent="0.35">
      <c r="L938" s="10"/>
    </row>
    <row r="939" spans="12:12" x14ac:dyDescent="0.35">
      <c r="L939" s="10"/>
    </row>
    <row r="940" spans="12:12" x14ac:dyDescent="0.35">
      <c r="L940" s="10"/>
    </row>
    <row r="941" spans="12:12" x14ac:dyDescent="0.35">
      <c r="L941" s="10"/>
    </row>
    <row r="942" spans="12:12" x14ac:dyDescent="0.35">
      <c r="L942" s="10"/>
    </row>
    <row r="943" spans="12:12" x14ac:dyDescent="0.35">
      <c r="L943" s="10"/>
    </row>
    <row r="944" spans="12:12" x14ac:dyDescent="0.35">
      <c r="L944" s="10"/>
    </row>
    <row r="945" spans="12:12" x14ac:dyDescent="0.35">
      <c r="L945" s="10"/>
    </row>
    <row r="946" spans="12:12" x14ac:dyDescent="0.35">
      <c r="L946" s="10"/>
    </row>
    <row r="947" spans="12:12" x14ac:dyDescent="0.35">
      <c r="L947" s="10"/>
    </row>
    <row r="948" spans="12:12" x14ac:dyDescent="0.35">
      <c r="L948" s="10"/>
    </row>
    <row r="949" spans="12:12" x14ac:dyDescent="0.35">
      <c r="L949" s="10"/>
    </row>
    <row r="950" spans="12:12" x14ac:dyDescent="0.35">
      <c r="L950" s="10"/>
    </row>
    <row r="951" spans="12:12" x14ac:dyDescent="0.35">
      <c r="L951" s="10"/>
    </row>
    <row r="952" spans="12:12" x14ac:dyDescent="0.35">
      <c r="L952" s="10"/>
    </row>
    <row r="953" spans="12:12" x14ac:dyDescent="0.35">
      <c r="L953" s="10"/>
    </row>
    <row r="954" spans="12:12" x14ac:dyDescent="0.35">
      <c r="L954" s="10"/>
    </row>
    <row r="955" spans="12:12" x14ac:dyDescent="0.35">
      <c r="L955" s="10"/>
    </row>
    <row r="956" spans="12:12" x14ac:dyDescent="0.35">
      <c r="L956" s="10"/>
    </row>
    <row r="957" spans="12:12" x14ac:dyDescent="0.35">
      <c r="L957" s="10"/>
    </row>
    <row r="958" spans="12:12" x14ac:dyDescent="0.35">
      <c r="L958" s="10"/>
    </row>
    <row r="959" spans="12:12" x14ac:dyDescent="0.35">
      <c r="L959" s="10"/>
    </row>
    <row r="960" spans="12:12" x14ac:dyDescent="0.35">
      <c r="L960" s="10"/>
    </row>
    <row r="961" spans="12:12" x14ac:dyDescent="0.35">
      <c r="L961" s="10"/>
    </row>
    <row r="962" spans="12:12" x14ac:dyDescent="0.35">
      <c r="L962" s="10"/>
    </row>
    <row r="963" spans="12:12" x14ac:dyDescent="0.35">
      <c r="L963" s="10"/>
    </row>
    <row r="964" spans="12:12" x14ac:dyDescent="0.35">
      <c r="L964" s="10"/>
    </row>
    <row r="965" spans="12:12" x14ac:dyDescent="0.35">
      <c r="L965" s="10"/>
    </row>
    <row r="966" spans="12:12" x14ac:dyDescent="0.35">
      <c r="L966" s="10"/>
    </row>
    <row r="967" spans="12:12" x14ac:dyDescent="0.35">
      <c r="L967" s="10"/>
    </row>
    <row r="968" spans="12:12" x14ac:dyDescent="0.35">
      <c r="L968" s="10"/>
    </row>
    <row r="969" spans="12:12" x14ac:dyDescent="0.35">
      <c r="L969" s="10"/>
    </row>
    <row r="970" spans="12:12" x14ac:dyDescent="0.35">
      <c r="L970" s="10"/>
    </row>
    <row r="971" spans="12:12" x14ac:dyDescent="0.35">
      <c r="L971" s="10"/>
    </row>
    <row r="972" spans="12:12" x14ac:dyDescent="0.35">
      <c r="L972" s="10"/>
    </row>
    <row r="973" spans="12:12" x14ac:dyDescent="0.35">
      <c r="L973" s="10"/>
    </row>
    <row r="974" spans="12:12" x14ac:dyDescent="0.35">
      <c r="L974" s="10"/>
    </row>
    <row r="975" spans="12:12" x14ac:dyDescent="0.35">
      <c r="L975" s="10"/>
    </row>
    <row r="976" spans="12:12" x14ac:dyDescent="0.35">
      <c r="L976" s="10"/>
    </row>
    <row r="977" spans="12:12" x14ac:dyDescent="0.35">
      <c r="L977" s="10"/>
    </row>
    <row r="978" spans="12:12" x14ac:dyDescent="0.35">
      <c r="L978" s="10"/>
    </row>
    <row r="979" spans="12:12" x14ac:dyDescent="0.35">
      <c r="L979" s="10"/>
    </row>
    <row r="980" spans="12:12" x14ac:dyDescent="0.35">
      <c r="L980" s="10"/>
    </row>
    <row r="981" spans="12:12" x14ac:dyDescent="0.35">
      <c r="L981" s="10"/>
    </row>
    <row r="982" spans="12:12" x14ac:dyDescent="0.35">
      <c r="L982" s="10"/>
    </row>
    <row r="983" spans="12:12" x14ac:dyDescent="0.35">
      <c r="L983" s="10"/>
    </row>
    <row r="984" spans="12:12" x14ac:dyDescent="0.35">
      <c r="L984" s="10"/>
    </row>
    <row r="985" spans="12:12" x14ac:dyDescent="0.35">
      <c r="L985" s="10"/>
    </row>
    <row r="986" spans="12:12" x14ac:dyDescent="0.35">
      <c r="L986" s="10"/>
    </row>
    <row r="987" spans="12:12" x14ac:dyDescent="0.35">
      <c r="L987" s="10"/>
    </row>
    <row r="988" spans="12:12" x14ac:dyDescent="0.35">
      <c r="L988" s="10"/>
    </row>
    <row r="989" spans="12:12" x14ac:dyDescent="0.35">
      <c r="L989" s="10"/>
    </row>
    <row r="990" spans="12:12" x14ac:dyDescent="0.35">
      <c r="L990" s="10"/>
    </row>
    <row r="991" spans="12:12" x14ac:dyDescent="0.35">
      <c r="L991" s="10"/>
    </row>
    <row r="992" spans="12:12" x14ac:dyDescent="0.35">
      <c r="L992" s="10"/>
    </row>
    <row r="993" spans="12:12" x14ac:dyDescent="0.35">
      <c r="L993" s="10"/>
    </row>
    <row r="994" spans="12:12" x14ac:dyDescent="0.35">
      <c r="L994" s="10"/>
    </row>
    <row r="995" spans="12:12" x14ac:dyDescent="0.35">
      <c r="L995" s="10"/>
    </row>
    <row r="996" spans="12:12" x14ac:dyDescent="0.35">
      <c r="L996" s="10"/>
    </row>
    <row r="997" spans="12:12" x14ac:dyDescent="0.35">
      <c r="L997" s="10"/>
    </row>
    <row r="998" spans="12:12" x14ac:dyDescent="0.35">
      <c r="L998" s="10"/>
    </row>
    <row r="999" spans="12:12" x14ac:dyDescent="0.35">
      <c r="L999" s="10"/>
    </row>
    <row r="1000" spans="12:12" x14ac:dyDescent="0.35">
      <c r="L1000" s="10"/>
    </row>
    <row r="1001" spans="12:12" x14ac:dyDescent="0.35">
      <c r="L1001" s="10"/>
    </row>
    <row r="1002" spans="12:12" x14ac:dyDescent="0.35">
      <c r="L1002" s="10"/>
    </row>
    <row r="1003" spans="12:12" x14ac:dyDescent="0.35">
      <c r="L1003" s="10"/>
    </row>
    <row r="1004" spans="12:12" x14ac:dyDescent="0.35">
      <c r="L1004" s="10"/>
    </row>
    <row r="1005" spans="12:12" x14ac:dyDescent="0.35">
      <c r="L1005" s="10"/>
    </row>
    <row r="1006" spans="12:12" x14ac:dyDescent="0.35">
      <c r="L1006" s="10"/>
    </row>
    <row r="1007" spans="12:12" x14ac:dyDescent="0.35">
      <c r="L1007" s="10"/>
    </row>
    <row r="1008" spans="12:12" x14ac:dyDescent="0.35">
      <c r="L1008" s="10"/>
    </row>
    <row r="1009" spans="12:12" x14ac:dyDescent="0.35">
      <c r="L1009" s="10"/>
    </row>
    <row r="1010" spans="12:12" x14ac:dyDescent="0.35">
      <c r="L1010" s="10"/>
    </row>
    <row r="1011" spans="12:12" x14ac:dyDescent="0.35">
      <c r="L1011" s="10"/>
    </row>
    <row r="1012" spans="12:12" x14ac:dyDescent="0.35">
      <c r="L1012" s="10"/>
    </row>
    <row r="1013" spans="12:12" x14ac:dyDescent="0.35">
      <c r="L1013" s="10"/>
    </row>
    <row r="1014" spans="12:12" x14ac:dyDescent="0.35">
      <c r="L1014" s="10"/>
    </row>
    <row r="1015" spans="12:12" x14ac:dyDescent="0.35">
      <c r="L1015" s="10"/>
    </row>
    <row r="1016" spans="12:12" x14ac:dyDescent="0.35">
      <c r="L1016" s="10"/>
    </row>
    <row r="1017" spans="12:12" x14ac:dyDescent="0.35">
      <c r="L1017" s="10"/>
    </row>
    <row r="1018" spans="12:12" x14ac:dyDescent="0.35">
      <c r="L1018" s="10"/>
    </row>
    <row r="1019" spans="12:12" x14ac:dyDescent="0.35">
      <c r="L1019" s="10"/>
    </row>
    <row r="1020" spans="12:12" x14ac:dyDescent="0.35">
      <c r="L1020" s="10"/>
    </row>
    <row r="1021" spans="12:12" x14ac:dyDescent="0.35">
      <c r="L1021" s="10"/>
    </row>
    <row r="1022" spans="12:12" x14ac:dyDescent="0.35">
      <c r="L1022" s="10"/>
    </row>
    <row r="1023" spans="12:12" x14ac:dyDescent="0.35">
      <c r="L1023" s="10"/>
    </row>
    <row r="1024" spans="12:12" x14ac:dyDescent="0.35">
      <c r="L1024" s="10"/>
    </row>
    <row r="1025" spans="12:12" x14ac:dyDescent="0.35">
      <c r="L1025" s="10"/>
    </row>
    <row r="1026" spans="12:12" x14ac:dyDescent="0.35">
      <c r="L1026" s="10"/>
    </row>
    <row r="1027" spans="12:12" x14ac:dyDescent="0.35">
      <c r="L1027" s="10"/>
    </row>
    <row r="1028" spans="12:12" x14ac:dyDescent="0.35">
      <c r="L1028" s="10"/>
    </row>
    <row r="1029" spans="12:12" x14ac:dyDescent="0.35">
      <c r="L1029" s="10"/>
    </row>
    <row r="1030" spans="12:12" x14ac:dyDescent="0.35">
      <c r="L1030" s="10"/>
    </row>
    <row r="1031" spans="12:12" x14ac:dyDescent="0.35">
      <c r="L1031" s="10"/>
    </row>
    <row r="1032" spans="12:12" x14ac:dyDescent="0.35">
      <c r="L1032" s="10"/>
    </row>
    <row r="1033" spans="12:12" x14ac:dyDescent="0.35">
      <c r="L1033" s="10"/>
    </row>
    <row r="1034" spans="12:12" x14ac:dyDescent="0.35">
      <c r="L1034" s="10"/>
    </row>
    <row r="1035" spans="12:12" x14ac:dyDescent="0.35">
      <c r="L1035" s="10"/>
    </row>
    <row r="1036" spans="12:12" x14ac:dyDescent="0.35">
      <c r="L1036" s="10"/>
    </row>
    <row r="1037" spans="12:12" x14ac:dyDescent="0.35">
      <c r="L1037" s="10"/>
    </row>
    <row r="1038" spans="12:12" x14ac:dyDescent="0.35">
      <c r="L1038" s="10"/>
    </row>
    <row r="1039" spans="12:12" x14ac:dyDescent="0.35">
      <c r="L1039" s="10"/>
    </row>
    <row r="1040" spans="12:12" x14ac:dyDescent="0.35">
      <c r="L1040" s="10"/>
    </row>
    <row r="1041" spans="12:12" x14ac:dyDescent="0.35">
      <c r="L1041" s="10"/>
    </row>
    <row r="1042" spans="12:12" x14ac:dyDescent="0.35">
      <c r="L1042" s="10"/>
    </row>
    <row r="1043" spans="12:12" x14ac:dyDescent="0.35">
      <c r="L1043" s="10"/>
    </row>
    <row r="1044" spans="12:12" x14ac:dyDescent="0.35">
      <c r="L1044" s="10"/>
    </row>
    <row r="1045" spans="12:12" x14ac:dyDescent="0.35">
      <c r="L1045" s="10"/>
    </row>
    <row r="1046" spans="12:12" x14ac:dyDescent="0.35">
      <c r="L1046" s="10"/>
    </row>
    <row r="1047" spans="12:12" x14ac:dyDescent="0.35">
      <c r="L1047" s="10"/>
    </row>
    <row r="1048" spans="12:12" x14ac:dyDescent="0.35">
      <c r="L1048" s="10"/>
    </row>
    <row r="1049" spans="12:12" x14ac:dyDescent="0.35">
      <c r="L1049" s="10"/>
    </row>
    <row r="1050" spans="12:12" x14ac:dyDescent="0.35">
      <c r="L1050" s="10"/>
    </row>
    <row r="1051" spans="12:12" x14ac:dyDescent="0.35">
      <c r="L1051" s="10"/>
    </row>
    <row r="1052" spans="12:12" x14ac:dyDescent="0.35">
      <c r="L1052" s="10"/>
    </row>
    <row r="1053" spans="12:12" x14ac:dyDescent="0.35">
      <c r="L1053" s="10"/>
    </row>
    <row r="1054" spans="12:12" x14ac:dyDescent="0.35">
      <c r="L1054" s="10"/>
    </row>
    <row r="1055" spans="12:12" x14ac:dyDescent="0.35">
      <c r="L1055" s="10"/>
    </row>
    <row r="1056" spans="12:12" x14ac:dyDescent="0.35">
      <c r="L1056" s="10"/>
    </row>
    <row r="1057" spans="12:12" x14ac:dyDescent="0.35">
      <c r="L1057" s="10"/>
    </row>
    <row r="1058" spans="12:12" x14ac:dyDescent="0.35">
      <c r="L1058" s="10"/>
    </row>
    <row r="1059" spans="12:12" x14ac:dyDescent="0.35">
      <c r="L1059" s="10"/>
    </row>
    <row r="1060" spans="12:12" x14ac:dyDescent="0.35">
      <c r="L1060" s="10"/>
    </row>
    <row r="1061" spans="12:12" x14ac:dyDescent="0.35">
      <c r="L1061" s="10"/>
    </row>
    <row r="1062" spans="12:12" x14ac:dyDescent="0.35">
      <c r="L1062" s="10"/>
    </row>
    <row r="1063" spans="12:12" x14ac:dyDescent="0.35">
      <c r="L1063" s="10"/>
    </row>
    <row r="1064" spans="12:12" x14ac:dyDescent="0.35">
      <c r="L1064" s="10"/>
    </row>
    <row r="1065" spans="12:12" x14ac:dyDescent="0.35">
      <c r="L1065" s="10"/>
    </row>
    <row r="1066" spans="12:12" x14ac:dyDescent="0.35">
      <c r="L1066" s="10"/>
    </row>
    <row r="1067" spans="12:12" x14ac:dyDescent="0.35">
      <c r="L1067" s="10"/>
    </row>
    <row r="1068" spans="12:12" x14ac:dyDescent="0.35">
      <c r="L1068" s="10"/>
    </row>
    <row r="1069" spans="12:12" x14ac:dyDescent="0.35">
      <c r="L1069" s="10"/>
    </row>
    <row r="1070" spans="12:12" x14ac:dyDescent="0.35">
      <c r="L1070" s="10"/>
    </row>
    <row r="1071" spans="12:12" x14ac:dyDescent="0.35">
      <c r="L1071" s="10"/>
    </row>
    <row r="1072" spans="12:12" x14ac:dyDescent="0.35">
      <c r="L1072" s="10"/>
    </row>
    <row r="1073" spans="12:12" x14ac:dyDescent="0.35">
      <c r="L1073" s="10"/>
    </row>
    <row r="1074" spans="12:12" x14ac:dyDescent="0.35">
      <c r="L1074" s="10"/>
    </row>
    <row r="1075" spans="12:12" x14ac:dyDescent="0.35">
      <c r="L1075" s="10"/>
    </row>
    <row r="1076" spans="12:12" x14ac:dyDescent="0.35">
      <c r="L1076" s="10"/>
    </row>
    <row r="1077" spans="12:12" x14ac:dyDescent="0.35">
      <c r="L1077" s="10"/>
    </row>
    <row r="1078" spans="12:12" x14ac:dyDescent="0.35">
      <c r="L1078" s="10"/>
    </row>
    <row r="1079" spans="12:12" x14ac:dyDescent="0.35">
      <c r="L1079" s="10"/>
    </row>
    <row r="1080" spans="12:12" x14ac:dyDescent="0.35">
      <c r="L1080" s="10"/>
    </row>
    <row r="1081" spans="12:12" x14ac:dyDescent="0.35">
      <c r="L1081" s="10"/>
    </row>
    <row r="1082" spans="12:12" x14ac:dyDescent="0.35">
      <c r="L1082" s="10"/>
    </row>
    <row r="1083" spans="12:12" x14ac:dyDescent="0.35">
      <c r="L1083" s="10"/>
    </row>
    <row r="1084" spans="12:12" x14ac:dyDescent="0.35">
      <c r="L1084" s="10"/>
    </row>
    <row r="1085" spans="12:12" x14ac:dyDescent="0.35">
      <c r="L1085" s="10"/>
    </row>
    <row r="1086" spans="12:12" x14ac:dyDescent="0.35">
      <c r="L1086" s="10"/>
    </row>
    <row r="1087" spans="12:12" x14ac:dyDescent="0.35">
      <c r="L1087" s="10"/>
    </row>
    <row r="1088" spans="12:12" x14ac:dyDescent="0.35">
      <c r="L1088" s="10"/>
    </row>
    <row r="1089" spans="12:12" x14ac:dyDescent="0.35">
      <c r="L1089" s="10"/>
    </row>
    <row r="1090" spans="12:12" x14ac:dyDescent="0.35">
      <c r="L1090" s="10"/>
    </row>
    <row r="1091" spans="12:12" x14ac:dyDescent="0.35">
      <c r="L1091" s="10"/>
    </row>
    <row r="1092" spans="12:12" x14ac:dyDescent="0.35">
      <c r="L1092" s="10"/>
    </row>
    <row r="1093" spans="12:12" x14ac:dyDescent="0.35">
      <c r="L1093" s="10"/>
    </row>
    <row r="1094" spans="12:12" x14ac:dyDescent="0.35">
      <c r="L1094" s="10"/>
    </row>
    <row r="1095" spans="12:12" x14ac:dyDescent="0.35">
      <c r="L1095" s="10"/>
    </row>
    <row r="1096" spans="12:12" x14ac:dyDescent="0.35">
      <c r="L1096" s="10"/>
    </row>
    <row r="1097" spans="12:12" x14ac:dyDescent="0.35">
      <c r="L1097" s="10"/>
    </row>
    <row r="1098" spans="12:12" x14ac:dyDescent="0.35">
      <c r="L1098" s="10"/>
    </row>
    <row r="1099" spans="12:12" x14ac:dyDescent="0.35">
      <c r="L1099" s="10"/>
    </row>
    <row r="1100" spans="12:12" x14ac:dyDescent="0.35">
      <c r="L1100" s="10"/>
    </row>
    <row r="1101" spans="12:12" x14ac:dyDescent="0.35">
      <c r="L1101" s="10"/>
    </row>
    <row r="1102" spans="12:12" x14ac:dyDescent="0.35">
      <c r="L1102" s="10"/>
    </row>
    <row r="1103" spans="12:12" x14ac:dyDescent="0.35">
      <c r="L1103" s="10"/>
    </row>
    <row r="1104" spans="12:12" x14ac:dyDescent="0.35">
      <c r="L1104" s="10"/>
    </row>
    <row r="1105" spans="12:12" x14ac:dyDescent="0.35">
      <c r="L1105" s="10"/>
    </row>
    <row r="1106" spans="12:12" x14ac:dyDescent="0.35">
      <c r="L1106" s="10"/>
    </row>
    <row r="1107" spans="12:12" x14ac:dyDescent="0.35">
      <c r="L1107" s="10"/>
    </row>
    <row r="1108" spans="12:12" x14ac:dyDescent="0.35">
      <c r="L1108" s="10"/>
    </row>
    <row r="1109" spans="12:12" x14ac:dyDescent="0.35">
      <c r="L1109" s="10"/>
    </row>
    <row r="1110" spans="12:12" x14ac:dyDescent="0.35">
      <c r="L1110" s="10"/>
    </row>
    <row r="1111" spans="12:12" x14ac:dyDescent="0.35">
      <c r="L1111" s="10"/>
    </row>
    <row r="1112" spans="12:12" x14ac:dyDescent="0.35">
      <c r="L1112" s="10"/>
    </row>
    <row r="1113" spans="12:12" x14ac:dyDescent="0.35">
      <c r="L1113" s="10"/>
    </row>
    <row r="1114" spans="12:12" x14ac:dyDescent="0.35">
      <c r="L1114" s="10"/>
    </row>
    <row r="1115" spans="12:12" x14ac:dyDescent="0.35">
      <c r="L1115" s="10"/>
    </row>
    <row r="1116" spans="12:12" x14ac:dyDescent="0.35">
      <c r="L1116" s="10"/>
    </row>
    <row r="1117" spans="12:12" x14ac:dyDescent="0.35">
      <c r="L1117" s="10"/>
    </row>
    <row r="1118" spans="12:12" x14ac:dyDescent="0.35">
      <c r="L1118" s="10"/>
    </row>
    <row r="1119" spans="12:12" x14ac:dyDescent="0.35">
      <c r="L1119" s="10"/>
    </row>
    <row r="1120" spans="12:12" x14ac:dyDescent="0.35">
      <c r="L1120" s="10"/>
    </row>
    <row r="1121" spans="12:12" x14ac:dyDescent="0.35">
      <c r="L1121" s="10"/>
    </row>
    <row r="1122" spans="12:12" x14ac:dyDescent="0.35">
      <c r="L1122" s="10"/>
    </row>
    <row r="1123" spans="12:12" x14ac:dyDescent="0.35">
      <c r="L1123" s="10"/>
    </row>
    <row r="1124" spans="12:12" x14ac:dyDescent="0.35">
      <c r="L1124" s="10"/>
    </row>
    <row r="1125" spans="12:12" x14ac:dyDescent="0.35">
      <c r="L1125" s="10"/>
    </row>
    <row r="1126" spans="12:12" x14ac:dyDescent="0.35">
      <c r="L1126" s="10"/>
    </row>
    <row r="1127" spans="12:12" x14ac:dyDescent="0.35">
      <c r="L1127" s="10"/>
    </row>
    <row r="1128" spans="12:12" x14ac:dyDescent="0.35">
      <c r="L1128" s="10"/>
    </row>
    <row r="1129" spans="12:12" x14ac:dyDescent="0.35">
      <c r="L1129" s="10"/>
    </row>
    <row r="1130" spans="12:12" x14ac:dyDescent="0.35">
      <c r="L1130" s="10"/>
    </row>
    <row r="1131" spans="12:12" x14ac:dyDescent="0.35">
      <c r="L1131" s="10"/>
    </row>
    <row r="1132" spans="12:12" x14ac:dyDescent="0.35">
      <c r="L1132" s="10"/>
    </row>
    <row r="1133" spans="12:12" x14ac:dyDescent="0.35">
      <c r="L1133" s="10"/>
    </row>
    <row r="1134" spans="12:12" x14ac:dyDescent="0.35">
      <c r="L1134" s="10"/>
    </row>
    <row r="1135" spans="12:12" x14ac:dyDescent="0.35">
      <c r="L1135" s="10"/>
    </row>
    <row r="1136" spans="12:12" x14ac:dyDescent="0.35">
      <c r="L1136" s="10"/>
    </row>
    <row r="1137" spans="12:12" x14ac:dyDescent="0.35">
      <c r="L1137" s="10"/>
    </row>
    <row r="1138" spans="12:12" x14ac:dyDescent="0.35">
      <c r="L1138" s="10"/>
    </row>
    <row r="1139" spans="12:12" x14ac:dyDescent="0.35">
      <c r="L1139" s="10"/>
    </row>
    <row r="1140" spans="12:12" x14ac:dyDescent="0.35">
      <c r="L1140" s="10"/>
    </row>
    <row r="1141" spans="12:12" x14ac:dyDescent="0.35">
      <c r="L1141" s="10"/>
    </row>
    <row r="1142" spans="12:12" x14ac:dyDescent="0.35">
      <c r="L1142" s="10"/>
    </row>
    <row r="1143" spans="12:12" x14ac:dyDescent="0.35">
      <c r="L1143" s="10"/>
    </row>
    <row r="1144" spans="12:12" x14ac:dyDescent="0.35">
      <c r="L1144" s="10"/>
    </row>
    <row r="1145" spans="12:12" x14ac:dyDescent="0.35">
      <c r="L1145" s="10"/>
    </row>
    <row r="1146" spans="12:12" x14ac:dyDescent="0.35">
      <c r="L1146" s="10"/>
    </row>
    <row r="1147" spans="12:12" x14ac:dyDescent="0.35">
      <c r="L1147" s="10"/>
    </row>
    <row r="1148" spans="12:12" x14ac:dyDescent="0.35">
      <c r="L1148" s="10"/>
    </row>
    <row r="1149" spans="12:12" x14ac:dyDescent="0.35">
      <c r="L1149" s="10"/>
    </row>
    <row r="1150" spans="12:12" x14ac:dyDescent="0.35">
      <c r="L1150" s="10"/>
    </row>
    <row r="1151" spans="12:12" x14ac:dyDescent="0.35">
      <c r="L1151" s="10"/>
    </row>
    <row r="1152" spans="12:12" x14ac:dyDescent="0.35">
      <c r="L1152" s="10"/>
    </row>
    <row r="1153" spans="12:12" x14ac:dyDescent="0.35">
      <c r="L1153" s="10"/>
    </row>
    <row r="1154" spans="12:12" x14ac:dyDescent="0.35">
      <c r="L1154" s="10"/>
    </row>
    <row r="1155" spans="12:12" x14ac:dyDescent="0.35">
      <c r="L1155" s="10"/>
    </row>
    <row r="1156" spans="12:12" x14ac:dyDescent="0.35">
      <c r="L1156" s="10"/>
    </row>
    <row r="1157" spans="12:12" x14ac:dyDescent="0.35">
      <c r="L1157" s="10"/>
    </row>
    <row r="1158" spans="12:12" x14ac:dyDescent="0.35">
      <c r="L1158" s="10"/>
    </row>
    <row r="1159" spans="12:12" x14ac:dyDescent="0.35">
      <c r="L1159" s="10"/>
    </row>
    <row r="1160" spans="12:12" x14ac:dyDescent="0.35">
      <c r="L1160" s="10"/>
    </row>
    <row r="1161" spans="12:12" x14ac:dyDescent="0.35">
      <c r="L1161" s="10"/>
    </row>
    <row r="1162" spans="12:12" x14ac:dyDescent="0.35">
      <c r="L1162" s="10"/>
    </row>
    <row r="1163" spans="12:12" x14ac:dyDescent="0.35">
      <c r="L1163" s="10"/>
    </row>
    <row r="1164" spans="12:12" x14ac:dyDescent="0.35">
      <c r="L1164" s="10"/>
    </row>
    <row r="1165" spans="12:12" x14ac:dyDescent="0.35">
      <c r="L1165" s="10"/>
    </row>
    <row r="1166" spans="12:12" x14ac:dyDescent="0.35">
      <c r="L1166" s="10"/>
    </row>
    <row r="1167" spans="12:12" x14ac:dyDescent="0.35">
      <c r="L1167" s="10"/>
    </row>
    <row r="1168" spans="12:12" x14ac:dyDescent="0.35">
      <c r="L1168" s="10"/>
    </row>
    <row r="1169" spans="12:12" x14ac:dyDescent="0.35">
      <c r="L1169" s="10"/>
    </row>
    <row r="1170" spans="12:12" x14ac:dyDescent="0.35">
      <c r="L1170" s="10"/>
    </row>
    <row r="1171" spans="12:12" x14ac:dyDescent="0.35">
      <c r="L1171" s="10"/>
    </row>
    <row r="1172" spans="12:12" x14ac:dyDescent="0.35">
      <c r="L1172" s="10"/>
    </row>
    <row r="1173" spans="12:12" x14ac:dyDescent="0.35">
      <c r="L1173" s="10"/>
    </row>
    <row r="1174" spans="12:12" x14ac:dyDescent="0.35">
      <c r="L1174" s="10"/>
    </row>
    <row r="1175" spans="12:12" x14ac:dyDescent="0.35">
      <c r="L1175" s="10"/>
    </row>
    <row r="1176" spans="12:12" x14ac:dyDescent="0.35">
      <c r="L1176" s="10"/>
    </row>
    <row r="1177" spans="12:12" x14ac:dyDescent="0.35">
      <c r="L1177" s="10"/>
    </row>
    <row r="1178" spans="12:12" x14ac:dyDescent="0.35">
      <c r="L1178" s="10"/>
    </row>
    <row r="1179" spans="12:12" x14ac:dyDescent="0.35">
      <c r="L1179" s="10"/>
    </row>
    <row r="1180" spans="12:12" x14ac:dyDescent="0.35">
      <c r="L1180" s="10"/>
    </row>
    <row r="1181" spans="12:12" x14ac:dyDescent="0.35">
      <c r="L1181" s="10"/>
    </row>
    <row r="1182" spans="12:12" x14ac:dyDescent="0.35">
      <c r="L1182" s="10"/>
    </row>
    <row r="1183" spans="12:12" x14ac:dyDescent="0.35">
      <c r="L1183" s="10"/>
    </row>
    <row r="1184" spans="12:12" x14ac:dyDescent="0.35">
      <c r="L1184" s="10"/>
    </row>
    <row r="1185" spans="12:12" x14ac:dyDescent="0.35">
      <c r="L1185" s="10"/>
    </row>
    <row r="1186" spans="12:12" x14ac:dyDescent="0.35">
      <c r="L1186" s="10"/>
    </row>
    <row r="1187" spans="12:12" x14ac:dyDescent="0.35">
      <c r="L1187" s="10"/>
    </row>
    <row r="1188" spans="12:12" x14ac:dyDescent="0.35">
      <c r="L1188" s="10"/>
    </row>
    <row r="1189" spans="12:12" x14ac:dyDescent="0.35">
      <c r="L1189" s="10"/>
    </row>
    <row r="1190" spans="12:12" x14ac:dyDescent="0.35">
      <c r="L1190" s="10"/>
    </row>
    <row r="1191" spans="12:12" x14ac:dyDescent="0.35">
      <c r="L1191" s="10"/>
    </row>
    <row r="1192" spans="12:12" x14ac:dyDescent="0.35">
      <c r="L1192" s="10"/>
    </row>
    <row r="1193" spans="12:12" x14ac:dyDescent="0.35">
      <c r="L1193" s="10"/>
    </row>
    <row r="1194" spans="12:12" x14ac:dyDescent="0.35">
      <c r="L1194" s="10"/>
    </row>
    <row r="1195" spans="12:12" x14ac:dyDescent="0.35">
      <c r="L1195" s="10"/>
    </row>
    <row r="1196" spans="12:12" x14ac:dyDescent="0.35">
      <c r="L1196" s="10"/>
    </row>
    <row r="1197" spans="12:12" x14ac:dyDescent="0.35">
      <c r="L1197" s="10"/>
    </row>
    <row r="1198" spans="12:12" x14ac:dyDescent="0.35">
      <c r="L1198" s="10"/>
    </row>
    <row r="1199" spans="12:12" x14ac:dyDescent="0.35">
      <c r="L1199" s="10"/>
    </row>
    <row r="1200" spans="12:12" x14ac:dyDescent="0.35">
      <c r="L1200" s="10"/>
    </row>
    <row r="1201" spans="12:12" x14ac:dyDescent="0.35">
      <c r="L1201" s="10"/>
    </row>
    <row r="1202" spans="12:12" x14ac:dyDescent="0.35">
      <c r="L1202" s="10"/>
    </row>
    <row r="1203" spans="12:12" x14ac:dyDescent="0.35">
      <c r="L1203" s="10"/>
    </row>
    <row r="1204" spans="12:12" x14ac:dyDescent="0.35">
      <c r="L1204" s="10"/>
    </row>
    <row r="1205" spans="12:12" x14ac:dyDescent="0.35">
      <c r="L1205" s="10"/>
    </row>
    <row r="1206" spans="12:12" x14ac:dyDescent="0.35">
      <c r="L1206" s="10"/>
    </row>
    <row r="1207" spans="12:12" x14ac:dyDescent="0.35">
      <c r="L1207" s="10"/>
    </row>
    <row r="1208" spans="12:12" x14ac:dyDescent="0.35">
      <c r="L1208" s="10"/>
    </row>
    <row r="1209" spans="12:12" x14ac:dyDescent="0.35">
      <c r="L1209" s="10"/>
    </row>
    <row r="1210" spans="12:12" x14ac:dyDescent="0.35">
      <c r="L1210" s="10"/>
    </row>
    <row r="1211" spans="12:12" x14ac:dyDescent="0.35">
      <c r="L1211" s="10"/>
    </row>
    <row r="1212" spans="12:12" x14ac:dyDescent="0.35">
      <c r="L1212" s="10"/>
    </row>
    <row r="1213" spans="12:12" x14ac:dyDescent="0.35">
      <c r="L1213" s="10"/>
    </row>
    <row r="1214" spans="12:12" x14ac:dyDescent="0.35">
      <c r="L1214" s="10"/>
    </row>
    <row r="1215" spans="12:12" x14ac:dyDescent="0.35">
      <c r="L1215" s="10"/>
    </row>
    <row r="1216" spans="12:12" x14ac:dyDescent="0.35">
      <c r="L1216" s="10"/>
    </row>
    <row r="1217" spans="12:12" x14ac:dyDescent="0.35">
      <c r="L1217" s="10"/>
    </row>
    <row r="1218" spans="12:12" x14ac:dyDescent="0.35">
      <c r="L1218" s="10"/>
    </row>
    <row r="1219" spans="12:12" x14ac:dyDescent="0.35">
      <c r="L1219" s="10"/>
    </row>
    <row r="1220" spans="12:12" x14ac:dyDescent="0.35">
      <c r="L1220" s="10"/>
    </row>
    <row r="1221" spans="12:12" x14ac:dyDescent="0.35">
      <c r="L1221" s="10"/>
    </row>
    <row r="1222" spans="12:12" x14ac:dyDescent="0.35">
      <c r="L1222" s="10"/>
    </row>
    <row r="1223" spans="12:12" x14ac:dyDescent="0.35">
      <c r="L1223" s="10"/>
    </row>
    <row r="1224" spans="12:12" x14ac:dyDescent="0.35">
      <c r="L1224" s="10"/>
    </row>
    <row r="1225" spans="12:12" x14ac:dyDescent="0.35">
      <c r="L1225" s="10"/>
    </row>
    <row r="1226" spans="12:12" x14ac:dyDescent="0.35">
      <c r="L1226" s="10"/>
    </row>
    <row r="1227" spans="12:12" x14ac:dyDescent="0.35">
      <c r="L1227" s="10"/>
    </row>
    <row r="1228" spans="12:12" x14ac:dyDescent="0.35">
      <c r="L1228" s="10"/>
    </row>
    <row r="1229" spans="12:12" x14ac:dyDescent="0.35">
      <c r="L1229" s="10"/>
    </row>
    <row r="1230" spans="12:12" x14ac:dyDescent="0.35">
      <c r="L1230" s="10"/>
    </row>
    <row r="1231" spans="12:12" x14ac:dyDescent="0.35">
      <c r="L1231" s="10"/>
    </row>
    <row r="1232" spans="12:12" x14ac:dyDescent="0.35">
      <c r="L1232" s="10"/>
    </row>
    <row r="1233" spans="12:12" x14ac:dyDescent="0.35">
      <c r="L1233" s="10"/>
    </row>
    <row r="1234" spans="12:12" x14ac:dyDescent="0.35">
      <c r="L1234" s="10"/>
    </row>
    <row r="1235" spans="12:12" x14ac:dyDescent="0.35">
      <c r="L1235" s="10"/>
    </row>
    <row r="1236" spans="12:12" x14ac:dyDescent="0.35">
      <c r="L1236" s="10"/>
    </row>
    <row r="1237" spans="12:12" x14ac:dyDescent="0.35">
      <c r="L1237" s="10"/>
    </row>
    <row r="1238" spans="12:12" x14ac:dyDescent="0.35">
      <c r="L1238" s="10"/>
    </row>
    <row r="1239" spans="12:12" x14ac:dyDescent="0.35">
      <c r="L1239" s="10"/>
    </row>
    <row r="1240" spans="12:12" x14ac:dyDescent="0.35">
      <c r="L1240" s="10"/>
    </row>
    <row r="1241" spans="12:12" x14ac:dyDescent="0.35">
      <c r="L1241" s="10"/>
    </row>
    <row r="1242" spans="12:12" x14ac:dyDescent="0.35">
      <c r="L1242" s="10"/>
    </row>
    <row r="1243" spans="12:12" x14ac:dyDescent="0.35">
      <c r="L1243" s="10"/>
    </row>
    <row r="1244" spans="12:12" x14ac:dyDescent="0.35">
      <c r="L1244" s="10"/>
    </row>
    <row r="1245" spans="12:12" x14ac:dyDescent="0.35">
      <c r="L1245" s="10"/>
    </row>
    <row r="1246" spans="12:12" x14ac:dyDescent="0.35">
      <c r="L1246" s="10"/>
    </row>
    <row r="1247" spans="12:12" x14ac:dyDescent="0.35">
      <c r="L1247" s="10"/>
    </row>
    <row r="1248" spans="12:12" x14ac:dyDescent="0.35">
      <c r="L1248" s="10"/>
    </row>
    <row r="1249" spans="12:12" x14ac:dyDescent="0.35">
      <c r="L1249" s="10"/>
    </row>
    <row r="1250" spans="12:12" x14ac:dyDescent="0.35">
      <c r="L1250" s="10"/>
    </row>
    <row r="1251" spans="12:12" x14ac:dyDescent="0.35">
      <c r="L1251" s="10"/>
    </row>
    <row r="1252" spans="12:12" x14ac:dyDescent="0.35">
      <c r="L1252" s="10"/>
    </row>
    <row r="1253" spans="12:12" x14ac:dyDescent="0.35">
      <c r="L1253" s="10"/>
    </row>
    <row r="1254" spans="12:12" x14ac:dyDescent="0.35">
      <c r="L1254" s="10"/>
    </row>
    <row r="1255" spans="12:12" x14ac:dyDescent="0.35">
      <c r="L1255" s="10"/>
    </row>
    <row r="1256" spans="12:12" x14ac:dyDescent="0.35">
      <c r="L1256" s="10"/>
    </row>
    <row r="1257" spans="12:12" x14ac:dyDescent="0.35">
      <c r="L1257" s="10"/>
    </row>
    <row r="1258" spans="12:12" x14ac:dyDescent="0.35">
      <c r="L1258" s="10"/>
    </row>
    <row r="1259" spans="12:12" x14ac:dyDescent="0.35">
      <c r="L1259" s="10"/>
    </row>
    <row r="1260" spans="12:12" x14ac:dyDescent="0.35">
      <c r="L1260" s="10"/>
    </row>
    <row r="1261" spans="12:12" x14ac:dyDescent="0.35">
      <c r="L1261" s="10"/>
    </row>
    <row r="1262" spans="12:12" x14ac:dyDescent="0.35">
      <c r="L1262" s="10"/>
    </row>
    <row r="1263" spans="12:12" x14ac:dyDescent="0.35">
      <c r="L1263" s="10"/>
    </row>
    <row r="1264" spans="12:12" x14ac:dyDescent="0.35">
      <c r="L1264" s="10"/>
    </row>
    <row r="1265" spans="12:12" x14ac:dyDescent="0.35">
      <c r="L1265" s="10"/>
    </row>
    <row r="1266" spans="12:12" x14ac:dyDescent="0.35">
      <c r="L1266" s="10"/>
    </row>
    <row r="1267" spans="12:12" x14ac:dyDescent="0.35">
      <c r="L1267" s="10"/>
    </row>
    <row r="1268" spans="12:12" x14ac:dyDescent="0.35">
      <c r="L1268" s="10"/>
    </row>
    <row r="1269" spans="12:12" x14ac:dyDescent="0.35">
      <c r="L1269" s="10"/>
    </row>
    <row r="1270" spans="12:12" x14ac:dyDescent="0.35">
      <c r="L1270" s="10"/>
    </row>
    <row r="1271" spans="12:12" x14ac:dyDescent="0.35">
      <c r="L1271" s="10"/>
    </row>
    <row r="1272" spans="12:12" x14ac:dyDescent="0.35">
      <c r="L1272" s="10"/>
    </row>
    <row r="1273" spans="12:12" x14ac:dyDescent="0.35">
      <c r="L1273" s="10"/>
    </row>
    <row r="1274" spans="12:12" x14ac:dyDescent="0.35">
      <c r="L1274" s="10"/>
    </row>
    <row r="1275" spans="12:12" x14ac:dyDescent="0.35">
      <c r="L1275" s="10"/>
    </row>
    <row r="1276" spans="12:12" x14ac:dyDescent="0.35">
      <c r="L1276" s="10"/>
    </row>
    <row r="1277" spans="12:12" x14ac:dyDescent="0.35">
      <c r="L1277" s="10"/>
    </row>
    <row r="1278" spans="12:12" x14ac:dyDescent="0.35">
      <c r="L1278" s="10"/>
    </row>
    <row r="1279" spans="12:12" x14ac:dyDescent="0.35">
      <c r="L1279" s="10"/>
    </row>
    <row r="1280" spans="12:12" x14ac:dyDescent="0.35">
      <c r="L1280" s="10"/>
    </row>
    <row r="1281" spans="12:12" x14ac:dyDescent="0.35">
      <c r="L1281" s="10"/>
    </row>
    <row r="1282" spans="12:12" x14ac:dyDescent="0.35">
      <c r="L1282" s="10"/>
    </row>
    <row r="1283" spans="12:12" x14ac:dyDescent="0.35">
      <c r="L1283" s="10"/>
    </row>
    <row r="1284" spans="12:12" x14ac:dyDescent="0.35">
      <c r="L1284" s="10"/>
    </row>
    <row r="1285" spans="12:12" x14ac:dyDescent="0.35">
      <c r="L1285" s="10"/>
    </row>
    <row r="1286" spans="12:12" x14ac:dyDescent="0.35">
      <c r="L1286" s="10"/>
    </row>
    <row r="1287" spans="12:12" x14ac:dyDescent="0.35">
      <c r="L1287" s="10"/>
    </row>
    <row r="1288" spans="12:12" x14ac:dyDescent="0.35">
      <c r="L1288" s="10"/>
    </row>
    <row r="1289" spans="12:12" x14ac:dyDescent="0.35">
      <c r="L1289" s="10"/>
    </row>
    <row r="1290" spans="12:12" x14ac:dyDescent="0.35">
      <c r="L1290" s="10"/>
    </row>
    <row r="1291" spans="12:12" x14ac:dyDescent="0.35">
      <c r="L1291" s="10"/>
    </row>
    <row r="1292" spans="12:12" x14ac:dyDescent="0.35">
      <c r="L1292" s="10"/>
    </row>
    <row r="1293" spans="12:12" x14ac:dyDescent="0.35">
      <c r="L1293" s="10"/>
    </row>
    <row r="1294" spans="12:12" x14ac:dyDescent="0.35">
      <c r="L1294" s="10"/>
    </row>
    <row r="1295" spans="12:12" x14ac:dyDescent="0.35">
      <c r="L1295" s="10"/>
    </row>
    <row r="1296" spans="12:12" x14ac:dyDescent="0.35">
      <c r="L1296" s="10"/>
    </row>
    <row r="1297" spans="12:12" x14ac:dyDescent="0.35">
      <c r="L1297" s="10"/>
    </row>
    <row r="1298" spans="12:12" x14ac:dyDescent="0.35">
      <c r="L1298" s="10"/>
    </row>
    <row r="1299" spans="12:12" x14ac:dyDescent="0.35">
      <c r="L1299" s="10"/>
    </row>
    <row r="1300" spans="12:12" x14ac:dyDescent="0.35">
      <c r="L1300" s="10"/>
    </row>
    <row r="1301" spans="12:12" x14ac:dyDescent="0.35">
      <c r="L1301" s="10"/>
    </row>
    <row r="1302" spans="12:12" x14ac:dyDescent="0.35">
      <c r="L1302" s="10"/>
    </row>
    <row r="1303" spans="12:12" x14ac:dyDescent="0.35">
      <c r="L1303" s="10"/>
    </row>
    <row r="1304" spans="12:12" x14ac:dyDescent="0.35">
      <c r="L1304" s="10"/>
    </row>
    <row r="1305" spans="12:12" x14ac:dyDescent="0.35">
      <c r="L1305" s="10"/>
    </row>
    <row r="1306" spans="12:12" x14ac:dyDescent="0.35">
      <c r="L1306" s="10"/>
    </row>
    <row r="1307" spans="12:12" x14ac:dyDescent="0.35">
      <c r="L1307" s="10"/>
    </row>
    <row r="1308" spans="12:12" x14ac:dyDescent="0.35">
      <c r="L1308" s="10"/>
    </row>
    <row r="1309" spans="12:12" x14ac:dyDescent="0.35">
      <c r="L1309" s="10"/>
    </row>
    <row r="1310" spans="12:12" x14ac:dyDescent="0.35">
      <c r="L1310" s="10"/>
    </row>
    <row r="1311" spans="12:12" x14ac:dyDescent="0.35">
      <c r="L1311" s="10"/>
    </row>
    <row r="1312" spans="12:12" x14ac:dyDescent="0.35">
      <c r="L1312" s="10"/>
    </row>
    <row r="1313" spans="12:12" x14ac:dyDescent="0.35">
      <c r="L1313" s="10"/>
    </row>
    <row r="1314" spans="12:12" x14ac:dyDescent="0.35">
      <c r="L1314" s="10"/>
    </row>
    <row r="1315" spans="12:12" x14ac:dyDescent="0.35">
      <c r="L1315" s="10"/>
    </row>
    <row r="1316" spans="12:12" x14ac:dyDescent="0.35">
      <c r="L1316" s="10"/>
    </row>
    <row r="1317" spans="12:12" x14ac:dyDescent="0.35">
      <c r="L1317" s="10"/>
    </row>
    <row r="1318" spans="12:12" x14ac:dyDescent="0.35">
      <c r="L1318" s="10"/>
    </row>
    <row r="1319" spans="12:12" x14ac:dyDescent="0.35">
      <c r="L1319" s="10"/>
    </row>
    <row r="1320" spans="12:12" x14ac:dyDescent="0.35">
      <c r="L1320" s="10"/>
    </row>
    <row r="1321" spans="12:12" x14ac:dyDescent="0.35">
      <c r="L1321" s="10"/>
    </row>
    <row r="1322" spans="12:12" x14ac:dyDescent="0.35">
      <c r="L1322" s="10"/>
    </row>
    <row r="1323" spans="12:12" x14ac:dyDescent="0.35">
      <c r="L1323" s="10"/>
    </row>
    <row r="1324" spans="12:12" x14ac:dyDescent="0.35">
      <c r="L1324" s="10"/>
    </row>
    <row r="1325" spans="12:12" x14ac:dyDescent="0.35">
      <c r="L1325" s="10"/>
    </row>
    <row r="1326" spans="12:12" x14ac:dyDescent="0.35">
      <c r="L1326" s="10"/>
    </row>
    <row r="1327" spans="12:12" x14ac:dyDescent="0.35">
      <c r="L1327" s="10"/>
    </row>
    <row r="1328" spans="12:12" x14ac:dyDescent="0.35">
      <c r="L1328" s="10"/>
    </row>
    <row r="1329" spans="12:12" x14ac:dyDescent="0.35">
      <c r="L1329" s="10"/>
    </row>
    <row r="1330" spans="12:12" x14ac:dyDescent="0.35">
      <c r="L1330" s="10"/>
    </row>
    <row r="1331" spans="12:12" x14ac:dyDescent="0.35">
      <c r="L1331" s="10"/>
    </row>
    <row r="1332" spans="12:12" x14ac:dyDescent="0.35">
      <c r="L1332" s="10"/>
    </row>
    <row r="1333" spans="12:12" x14ac:dyDescent="0.35">
      <c r="L1333" s="10"/>
    </row>
    <row r="1334" spans="12:12" x14ac:dyDescent="0.35">
      <c r="L1334" s="10"/>
    </row>
    <row r="1335" spans="12:12" x14ac:dyDescent="0.35">
      <c r="L1335" s="10"/>
    </row>
    <row r="1336" spans="12:12" x14ac:dyDescent="0.35">
      <c r="L1336" s="10"/>
    </row>
    <row r="1337" spans="12:12" x14ac:dyDescent="0.35">
      <c r="L1337" s="10"/>
    </row>
    <row r="1338" spans="12:12" x14ac:dyDescent="0.35">
      <c r="L1338" s="10"/>
    </row>
    <row r="1339" spans="12:12" x14ac:dyDescent="0.35">
      <c r="L1339" s="10"/>
    </row>
    <row r="1340" spans="12:12" x14ac:dyDescent="0.35">
      <c r="L1340" s="10"/>
    </row>
    <row r="1341" spans="12:12" x14ac:dyDescent="0.35">
      <c r="L1341" s="10"/>
    </row>
    <row r="1342" spans="12:12" x14ac:dyDescent="0.35">
      <c r="L1342" s="10"/>
    </row>
    <row r="1343" spans="12:12" x14ac:dyDescent="0.35">
      <c r="L1343" s="10"/>
    </row>
    <row r="1344" spans="12:12" x14ac:dyDescent="0.35">
      <c r="L1344" s="10"/>
    </row>
    <row r="1345" spans="12:12" x14ac:dyDescent="0.35">
      <c r="L1345" s="10"/>
    </row>
    <row r="1346" spans="12:12" x14ac:dyDescent="0.35">
      <c r="L1346" s="10"/>
    </row>
    <row r="1347" spans="12:12" x14ac:dyDescent="0.35">
      <c r="L1347" s="10"/>
    </row>
    <row r="1348" spans="12:12" x14ac:dyDescent="0.35">
      <c r="L1348" s="10"/>
    </row>
    <row r="1349" spans="12:12" x14ac:dyDescent="0.35">
      <c r="L1349" s="10"/>
    </row>
    <row r="1350" spans="12:12" x14ac:dyDescent="0.35">
      <c r="L1350" s="10"/>
    </row>
    <row r="1351" spans="12:12" x14ac:dyDescent="0.35">
      <c r="L1351" s="10"/>
    </row>
    <row r="1352" spans="12:12" x14ac:dyDescent="0.35">
      <c r="L1352" s="10"/>
    </row>
    <row r="1353" spans="12:12" x14ac:dyDescent="0.35">
      <c r="L1353" s="10"/>
    </row>
    <row r="1354" spans="12:12" x14ac:dyDescent="0.35">
      <c r="L1354" s="10"/>
    </row>
    <row r="1355" spans="12:12" x14ac:dyDescent="0.35">
      <c r="L1355" s="10"/>
    </row>
    <row r="1356" spans="12:12" x14ac:dyDescent="0.35">
      <c r="L1356" s="10"/>
    </row>
    <row r="1357" spans="12:12" x14ac:dyDescent="0.35">
      <c r="L1357" s="10"/>
    </row>
    <row r="1358" spans="12:12" x14ac:dyDescent="0.35">
      <c r="L1358" s="10"/>
    </row>
    <row r="1359" spans="12:12" x14ac:dyDescent="0.35">
      <c r="L1359" s="10"/>
    </row>
    <row r="1360" spans="12:12" x14ac:dyDescent="0.35">
      <c r="L1360" s="10"/>
    </row>
    <row r="1361" spans="12:12" x14ac:dyDescent="0.35">
      <c r="L1361" s="10"/>
    </row>
    <row r="1362" spans="12:12" x14ac:dyDescent="0.35">
      <c r="L1362" s="10"/>
    </row>
    <row r="1363" spans="12:12" x14ac:dyDescent="0.35">
      <c r="L1363" s="10"/>
    </row>
    <row r="1364" spans="12:12" x14ac:dyDescent="0.35">
      <c r="L1364" s="10"/>
    </row>
    <row r="1365" spans="12:12" x14ac:dyDescent="0.35">
      <c r="L1365" s="10"/>
    </row>
    <row r="1366" spans="12:12" x14ac:dyDescent="0.35">
      <c r="L1366" s="10"/>
    </row>
    <row r="1367" spans="12:12" x14ac:dyDescent="0.35">
      <c r="L1367" s="10"/>
    </row>
    <row r="1368" spans="12:12" x14ac:dyDescent="0.35">
      <c r="L1368" s="10"/>
    </row>
    <row r="1369" spans="12:12" x14ac:dyDescent="0.35">
      <c r="L1369" s="10"/>
    </row>
    <row r="1370" spans="12:12" x14ac:dyDescent="0.35">
      <c r="L1370" s="10"/>
    </row>
    <row r="1371" spans="12:12" x14ac:dyDescent="0.35">
      <c r="L1371" s="10"/>
    </row>
    <row r="1372" spans="12:12" x14ac:dyDescent="0.35">
      <c r="L1372" s="10"/>
    </row>
    <row r="1373" spans="12:12" x14ac:dyDescent="0.35">
      <c r="L1373" s="10"/>
    </row>
    <row r="1374" spans="12:12" x14ac:dyDescent="0.35">
      <c r="L1374" s="10"/>
    </row>
    <row r="1375" spans="12:12" x14ac:dyDescent="0.35">
      <c r="L1375" s="10"/>
    </row>
    <row r="1376" spans="12:12" x14ac:dyDescent="0.35">
      <c r="L1376" s="10"/>
    </row>
    <row r="1377" spans="12:12" x14ac:dyDescent="0.35">
      <c r="L1377" s="10"/>
    </row>
    <row r="1378" spans="12:12" x14ac:dyDescent="0.35">
      <c r="L1378" s="10"/>
    </row>
    <row r="1379" spans="12:12" x14ac:dyDescent="0.35">
      <c r="L1379" s="10"/>
    </row>
    <row r="1380" spans="12:12" x14ac:dyDescent="0.35">
      <c r="L1380" s="10"/>
    </row>
    <row r="1381" spans="12:12" x14ac:dyDescent="0.35">
      <c r="L1381" s="10"/>
    </row>
    <row r="1382" spans="12:12" x14ac:dyDescent="0.35">
      <c r="L1382" s="10"/>
    </row>
    <row r="1383" spans="12:12" x14ac:dyDescent="0.35">
      <c r="L1383" s="10"/>
    </row>
    <row r="1384" spans="12:12" x14ac:dyDescent="0.35">
      <c r="L1384" s="10"/>
    </row>
    <row r="1385" spans="12:12" x14ac:dyDescent="0.35">
      <c r="L1385" s="10"/>
    </row>
    <row r="1386" spans="12:12" x14ac:dyDescent="0.35">
      <c r="L1386" s="10"/>
    </row>
    <row r="1387" spans="12:12" x14ac:dyDescent="0.35">
      <c r="L1387" s="10"/>
    </row>
    <row r="1388" spans="12:12" x14ac:dyDescent="0.35">
      <c r="L1388" s="10"/>
    </row>
    <row r="1389" spans="12:12" x14ac:dyDescent="0.35">
      <c r="L1389" s="10"/>
    </row>
    <row r="1390" spans="12:12" x14ac:dyDescent="0.35">
      <c r="L1390" s="10"/>
    </row>
    <row r="1391" spans="12:12" x14ac:dyDescent="0.35">
      <c r="L1391" s="10"/>
    </row>
    <row r="1392" spans="12:12" x14ac:dyDescent="0.35">
      <c r="L1392" s="10"/>
    </row>
    <row r="1393" spans="12:12" x14ac:dyDescent="0.35">
      <c r="L1393" s="10"/>
    </row>
    <row r="1394" spans="12:12" x14ac:dyDescent="0.35">
      <c r="L1394" s="10"/>
    </row>
    <row r="1395" spans="12:12" x14ac:dyDescent="0.35">
      <c r="L1395" s="10"/>
    </row>
    <row r="1396" spans="12:12" x14ac:dyDescent="0.35">
      <c r="L1396" s="10"/>
    </row>
    <row r="1397" spans="12:12" x14ac:dyDescent="0.35">
      <c r="L1397" s="10"/>
    </row>
    <row r="1398" spans="12:12" x14ac:dyDescent="0.35">
      <c r="L1398" s="10"/>
    </row>
    <row r="1399" spans="12:12" x14ac:dyDescent="0.35">
      <c r="L1399" s="10"/>
    </row>
    <row r="1400" spans="12:12" x14ac:dyDescent="0.35">
      <c r="L1400" s="10"/>
    </row>
    <row r="1401" spans="12:12" x14ac:dyDescent="0.35">
      <c r="L1401" s="10"/>
    </row>
    <row r="1402" spans="12:12" x14ac:dyDescent="0.35">
      <c r="L1402" s="10"/>
    </row>
    <row r="1403" spans="12:12" x14ac:dyDescent="0.35">
      <c r="L1403" s="10"/>
    </row>
    <row r="1404" spans="12:12" x14ac:dyDescent="0.35">
      <c r="L1404" s="10"/>
    </row>
    <row r="1405" spans="12:12" x14ac:dyDescent="0.35">
      <c r="L1405" s="10"/>
    </row>
    <row r="1406" spans="12:12" x14ac:dyDescent="0.35">
      <c r="L1406" s="10"/>
    </row>
    <row r="1407" spans="12:12" x14ac:dyDescent="0.35">
      <c r="L1407" s="10"/>
    </row>
    <row r="1408" spans="12:12" x14ac:dyDescent="0.35">
      <c r="L1408" s="10"/>
    </row>
    <row r="1409" spans="12:12" x14ac:dyDescent="0.35">
      <c r="L1409" s="10"/>
    </row>
    <row r="1410" spans="12:12" x14ac:dyDescent="0.35">
      <c r="L1410" s="10"/>
    </row>
    <row r="1411" spans="12:12" x14ac:dyDescent="0.35">
      <c r="L1411" s="10"/>
    </row>
    <row r="1412" spans="12:12" x14ac:dyDescent="0.35">
      <c r="L1412" s="10"/>
    </row>
    <row r="1413" spans="12:12" x14ac:dyDescent="0.35">
      <c r="L1413" s="10"/>
    </row>
    <row r="1414" spans="12:12" x14ac:dyDescent="0.35">
      <c r="L1414" s="10"/>
    </row>
    <row r="1415" spans="12:12" x14ac:dyDescent="0.35">
      <c r="L1415" s="10"/>
    </row>
    <row r="1416" spans="12:12" x14ac:dyDescent="0.35">
      <c r="L1416" s="10"/>
    </row>
    <row r="1417" spans="12:12" x14ac:dyDescent="0.35">
      <c r="L1417" s="10"/>
    </row>
    <row r="1418" spans="12:12" x14ac:dyDescent="0.35">
      <c r="L1418" s="10"/>
    </row>
    <row r="1419" spans="12:12" x14ac:dyDescent="0.35">
      <c r="L1419" s="10"/>
    </row>
    <row r="1420" spans="12:12" x14ac:dyDescent="0.35">
      <c r="L1420" s="10"/>
    </row>
    <row r="1421" spans="12:12" x14ac:dyDescent="0.35">
      <c r="L1421" s="10"/>
    </row>
    <row r="1422" spans="12:12" x14ac:dyDescent="0.35">
      <c r="L1422" s="10"/>
    </row>
    <row r="1423" spans="12:12" x14ac:dyDescent="0.35">
      <c r="L1423" s="10"/>
    </row>
    <row r="1424" spans="12:12" x14ac:dyDescent="0.35">
      <c r="L1424" s="10"/>
    </row>
    <row r="1425" spans="12:12" x14ac:dyDescent="0.35">
      <c r="L1425" s="10"/>
    </row>
    <row r="1426" spans="12:12" x14ac:dyDescent="0.35">
      <c r="L1426" s="10"/>
    </row>
    <row r="1427" spans="12:12" x14ac:dyDescent="0.35">
      <c r="L1427" s="10"/>
    </row>
    <row r="1428" spans="12:12" x14ac:dyDescent="0.35">
      <c r="L1428" s="10"/>
    </row>
    <row r="1429" spans="12:12" x14ac:dyDescent="0.35">
      <c r="L1429" s="10"/>
    </row>
    <row r="1430" spans="12:12" x14ac:dyDescent="0.35">
      <c r="L1430" s="10"/>
    </row>
    <row r="1431" spans="12:12" x14ac:dyDescent="0.35">
      <c r="L1431" s="10"/>
    </row>
    <row r="1432" spans="12:12" x14ac:dyDescent="0.35">
      <c r="L1432" s="10"/>
    </row>
    <row r="1433" spans="12:12" x14ac:dyDescent="0.35">
      <c r="L1433" s="10"/>
    </row>
    <row r="1434" spans="12:12" x14ac:dyDescent="0.35">
      <c r="L1434" s="10"/>
    </row>
    <row r="1435" spans="12:12" x14ac:dyDescent="0.35">
      <c r="L1435" s="10"/>
    </row>
    <row r="1436" spans="12:12" x14ac:dyDescent="0.35">
      <c r="L1436" s="10"/>
    </row>
    <row r="1437" spans="12:12" x14ac:dyDescent="0.35">
      <c r="L1437" s="10"/>
    </row>
    <row r="1438" spans="12:12" x14ac:dyDescent="0.35">
      <c r="L1438" s="10"/>
    </row>
    <row r="1439" spans="12:12" x14ac:dyDescent="0.35">
      <c r="L1439" s="10"/>
    </row>
    <row r="1440" spans="12:12" x14ac:dyDescent="0.35">
      <c r="L1440" s="10"/>
    </row>
    <row r="1441" spans="12:12" x14ac:dyDescent="0.35">
      <c r="L1441" s="10"/>
    </row>
    <row r="1442" spans="12:12" x14ac:dyDescent="0.35">
      <c r="L1442" s="10"/>
    </row>
    <row r="1443" spans="12:12" x14ac:dyDescent="0.35">
      <c r="L1443" s="10"/>
    </row>
    <row r="1444" spans="12:12" x14ac:dyDescent="0.35">
      <c r="L1444" s="10"/>
    </row>
    <row r="1445" spans="12:12" x14ac:dyDescent="0.35">
      <c r="L1445" s="10"/>
    </row>
    <row r="1446" spans="12:12" x14ac:dyDescent="0.35">
      <c r="L1446" s="10"/>
    </row>
    <row r="1447" spans="12:12" x14ac:dyDescent="0.35">
      <c r="L1447" s="10"/>
    </row>
    <row r="1448" spans="12:12" x14ac:dyDescent="0.35">
      <c r="L1448" s="10"/>
    </row>
    <row r="1449" spans="12:12" x14ac:dyDescent="0.35">
      <c r="L1449" s="10"/>
    </row>
    <row r="1450" spans="12:12" x14ac:dyDescent="0.35">
      <c r="L1450" s="10"/>
    </row>
    <row r="1451" spans="12:12" x14ac:dyDescent="0.35">
      <c r="L1451" s="10"/>
    </row>
    <row r="1452" spans="12:12" x14ac:dyDescent="0.35">
      <c r="L1452" s="10"/>
    </row>
    <row r="1453" spans="12:12" x14ac:dyDescent="0.35">
      <c r="L1453" s="10"/>
    </row>
    <row r="1454" spans="12:12" x14ac:dyDescent="0.35">
      <c r="L1454" s="10"/>
    </row>
    <row r="1455" spans="12:12" x14ac:dyDescent="0.35">
      <c r="L1455" s="10"/>
    </row>
    <row r="1456" spans="12:12" x14ac:dyDescent="0.35">
      <c r="L1456" s="10"/>
    </row>
    <row r="1457" spans="12:12" x14ac:dyDescent="0.35">
      <c r="L1457" s="10"/>
    </row>
    <row r="1458" spans="12:12" x14ac:dyDescent="0.35">
      <c r="L1458" s="10"/>
    </row>
    <row r="1459" spans="12:12" x14ac:dyDescent="0.35">
      <c r="L1459" s="10"/>
    </row>
    <row r="1460" spans="12:12" x14ac:dyDescent="0.35">
      <c r="L1460" s="10"/>
    </row>
    <row r="1461" spans="12:12" x14ac:dyDescent="0.35">
      <c r="L1461" s="10"/>
    </row>
    <row r="1462" spans="12:12" x14ac:dyDescent="0.35">
      <c r="L1462" s="10"/>
    </row>
    <row r="1463" spans="12:12" x14ac:dyDescent="0.35">
      <c r="L1463" s="10"/>
    </row>
    <row r="1464" spans="12:12" x14ac:dyDescent="0.35">
      <c r="L1464" s="10"/>
    </row>
    <row r="1465" spans="12:12" x14ac:dyDescent="0.35">
      <c r="L1465" s="10"/>
    </row>
    <row r="1466" spans="12:12" x14ac:dyDescent="0.35">
      <c r="L1466" s="10"/>
    </row>
    <row r="1467" spans="12:12" x14ac:dyDescent="0.35">
      <c r="L1467" s="10"/>
    </row>
    <row r="1468" spans="12:12" x14ac:dyDescent="0.35">
      <c r="L1468" s="10"/>
    </row>
    <row r="1469" spans="12:12" x14ac:dyDescent="0.35">
      <c r="L1469" s="10"/>
    </row>
    <row r="1470" spans="12:12" x14ac:dyDescent="0.35">
      <c r="L1470" s="10"/>
    </row>
    <row r="1471" spans="12:12" x14ac:dyDescent="0.35">
      <c r="L1471" s="10"/>
    </row>
    <row r="1472" spans="12:12" x14ac:dyDescent="0.35">
      <c r="L1472" s="10"/>
    </row>
    <row r="1473" spans="12:12" x14ac:dyDescent="0.35">
      <c r="L1473" s="10"/>
    </row>
    <row r="1474" spans="12:12" x14ac:dyDescent="0.35">
      <c r="L1474" s="10"/>
    </row>
    <row r="1475" spans="12:12" x14ac:dyDescent="0.35">
      <c r="L1475" s="10"/>
    </row>
    <row r="1476" spans="12:12" x14ac:dyDescent="0.35">
      <c r="L1476" s="10"/>
    </row>
    <row r="1477" spans="12:12" x14ac:dyDescent="0.35">
      <c r="L1477" s="10"/>
    </row>
    <row r="1478" spans="12:12" x14ac:dyDescent="0.35">
      <c r="L1478" s="10"/>
    </row>
    <row r="1479" spans="12:12" x14ac:dyDescent="0.35">
      <c r="L1479" s="10"/>
    </row>
    <row r="1480" spans="12:12" x14ac:dyDescent="0.35">
      <c r="L1480" s="10"/>
    </row>
    <row r="1481" spans="12:12" x14ac:dyDescent="0.35">
      <c r="L1481" s="10"/>
    </row>
    <row r="1482" spans="12:12" x14ac:dyDescent="0.35">
      <c r="L1482" s="10"/>
    </row>
    <row r="1483" spans="12:12" x14ac:dyDescent="0.35">
      <c r="L1483" s="10"/>
    </row>
    <row r="1484" spans="12:12" x14ac:dyDescent="0.35">
      <c r="L1484" s="10"/>
    </row>
    <row r="1485" spans="12:12" x14ac:dyDescent="0.35">
      <c r="L1485" s="10"/>
    </row>
    <row r="1486" spans="12:12" x14ac:dyDescent="0.35">
      <c r="L1486" s="10"/>
    </row>
    <row r="1487" spans="12:12" x14ac:dyDescent="0.35">
      <c r="L1487" s="10"/>
    </row>
    <row r="1488" spans="12:12" x14ac:dyDescent="0.35">
      <c r="L1488" s="10"/>
    </row>
    <row r="1489" spans="12:12" x14ac:dyDescent="0.35">
      <c r="L1489" s="10"/>
    </row>
    <row r="1490" spans="12:12" x14ac:dyDescent="0.35">
      <c r="L1490" s="10"/>
    </row>
    <row r="1491" spans="12:12" x14ac:dyDescent="0.35">
      <c r="L1491" s="10"/>
    </row>
    <row r="1492" spans="12:12" x14ac:dyDescent="0.35">
      <c r="L1492" s="10"/>
    </row>
    <row r="1493" spans="12:12" x14ac:dyDescent="0.35">
      <c r="L1493" s="10"/>
    </row>
    <row r="1494" spans="12:12" x14ac:dyDescent="0.35">
      <c r="L1494" s="10"/>
    </row>
    <row r="1495" spans="12:12" x14ac:dyDescent="0.35">
      <c r="L1495" s="10"/>
    </row>
    <row r="1496" spans="12:12" x14ac:dyDescent="0.35">
      <c r="L1496" s="10"/>
    </row>
    <row r="1497" spans="12:12" x14ac:dyDescent="0.35">
      <c r="L1497" s="10"/>
    </row>
    <row r="1498" spans="12:12" x14ac:dyDescent="0.35">
      <c r="L1498" s="10"/>
    </row>
    <row r="1499" spans="12:12" x14ac:dyDescent="0.35">
      <c r="L1499" s="10"/>
    </row>
    <row r="1500" spans="12:12" x14ac:dyDescent="0.35">
      <c r="L1500" s="10"/>
    </row>
    <row r="1501" spans="12:12" x14ac:dyDescent="0.35">
      <c r="L1501" s="10"/>
    </row>
    <row r="1502" spans="12:12" x14ac:dyDescent="0.35">
      <c r="L1502" s="10"/>
    </row>
    <row r="1503" spans="12:12" x14ac:dyDescent="0.35">
      <c r="L1503" s="10"/>
    </row>
    <row r="1504" spans="12:12" x14ac:dyDescent="0.35">
      <c r="L1504" s="10"/>
    </row>
    <row r="1505" spans="12:12" x14ac:dyDescent="0.35">
      <c r="L1505" s="10"/>
    </row>
    <row r="1506" spans="12:12" x14ac:dyDescent="0.35">
      <c r="L1506" s="10"/>
    </row>
    <row r="1507" spans="12:12" x14ac:dyDescent="0.35">
      <c r="L1507" s="10"/>
    </row>
    <row r="1508" spans="12:12" x14ac:dyDescent="0.35">
      <c r="L1508" s="10"/>
    </row>
    <row r="1509" spans="12:12" x14ac:dyDescent="0.35">
      <c r="L1509" s="10"/>
    </row>
    <row r="1510" spans="12:12" x14ac:dyDescent="0.35">
      <c r="L1510" s="10"/>
    </row>
    <row r="1511" spans="12:12" x14ac:dyDescent="0.35">
      <c r="L1511" s="10"/>
    </row>
    <row r="1512" spans="12:12" x14ac:dyDescent="0.35">
      <c r="L1512" s="10"/>
    </row>
    <row r="1513" spans="12:12" x14ac:dyDescent="0.35">
      <c r="L1513" s="10"/>
    </row>
    <row r="1514" spans="12:12" x14ac:dyDescent="0.35">
      <c r="L1514" s="10"/>
    </row>
    <row r="1515" spans="12:12" x14ac:dyDescent="0.35">
      <c r="L1515" s="10"/>
    </row>
    <row r="1516" spans="12:12" x14ac:dyDescent="0.35">
      <c r="L1516" s="10"/>
    </row>
    <row r="1517" spans="12:12" x14ac:dyDescent="0.35">
      <c r="L1517" s="10"/>
    </row>
    <row r="1518" spans="12:12" x14ac:dyDescent="0.35">
      <c r="L1518" s="10"/>
    </row>
    <row r="1519" spans="12:12" x14ac:dyDescent="0.35">
      <c r="L1519" s="10"/>
    </row>
    <row r="1520" spans="12:12" x14ac:dyDescent="0.35">
      <c r="L1520" s="10"/>
    </row>
    <row r="1521" spans="12:12" x14ac:dyDescent="0.35">
      <c r="L1521" s="10"/>
    </row>
    <row r="1522" spans="12:12" x14ac:dyDescent="0.35">
      <c r="L1522" s="10"/>
    </row>
    <row r="1523" spans="12:12" x14ac:dyDescent="0.35">
      <c r="L1523" s="10"/>
    </row>
    <row r="1524" spans="12:12" x14ac:dyDescent="0.35">
      <c r="L1524" s="10"/>
    </row>
    <row r="1525" spans="12:12" x14ac:dyDescent="0.35">
      <c r="L1525" s="10"/>
    </row>
    <row r="1526" spans="12:12" x14ac:dyDescent="0.35">
      <c r="L1526" s="10"/>
    </row>
    <row r="1527" spans="12:12" x14ac:dyDescent="0.35">
      <c r="L1527" s="10"/>
    </row>
    <row r="1528" spans="12:12" x14ac:dyDescent="0.35">
      <c r="L1528" s="10"/>
    </row>
    <row r="1529" spans="12:12" x14ac:dyDescent="0.35">
      <c r="L1529" s="10"/>
    </row>
    <row r="1530" spans="12:12" x14ac:dyDescent="0.35">
      <c r="L1530" s="10"/>
    </row>
    <row r="1531" spans="12:12" x14ac:dyDescent="0.35">
      <c r="L1531" s="10"/>
    </row>
    <row r="1532" spans="12:12" x14ac:dyDescent="0.35">
      <c r="L1532" s="10"/>
    </row>
    <row r="1533" spans="12:12" x14ac:dyDescent="0.35">
      <c r="L1533" s="10"/>
    </row>
    <row r="1534" spans="12:12" x14ac:dyDescent="0.35">
      <c r="L1534" s="10"/>
    </row>
    <row r="1535" spans="12:12" x14ac:dyDescent="0.35">
      <c r="L1535" s="10"/>
    </row>
    <row r="1536" spans="12:12" x14ac:dyDescent="0.35">
      <c r="L1536" s="10"/>
    </row>
    <row r="1537" spans="12:12" x14ac:dyDescent="0.35">
      <c r="L1537" s="10"/>
    </row>
    <row r="1538" spans="12:12" x14ac:dyDescent="0.35">
      <c r="L1538" s="10"/>
    </row>
    <row r="1539" spans="12:12" x14ac:dyDescent="0.35">
      <c r="L1539" s="10"/>
    </row>
    <row r="1540" spans="12:12" x14ac:dyDescent="0.35">
      <c r="L1540" s="10"/>
    </row>
    <row r="1541" spans="12:12" x14ac:dyDescent="0.35">
      <c r="L1541" s="10"/>
    </row>
    <row r="1542" spans="12:12" x14ac:dyDescent="0.35">
      <c r="L1542" s="10"/>
    </row>
    <row r="1543" spans="12:12" x14ac:dyDescent="0.35">
      <c r="L1543" s="10"/>
    </row>
    <row r="1544" spans="12:12" x14ac:dyDescent="0.35">
      <c r="L1544" s="10"/>
    </row>
    <row r="1545" spans="12:12" x14ac:dyDescent="0.35">
      <c r="L1545" s="10"/>
    </row>
    <row r="1546" spans="12:12" x14ac:dyDescent="0.35">
      <c r="L1546" s="10"/>
    </row>
    <row r="1547" spans="12:12" x14ac:dyDescent="0.35">
      <c r="L1547" s="10"/>
    </row>
    <row r="1548" spans="12:12" x14ac:dyDescent="0.35">
      <c r="L1548" s="10"/>
    </row>
    <row r="1549" spans="12:12" x14ac:dyDescent="0.35">
      <c r="L1549" s="10"/>
    </row>
    <row r="1550" spans="12:12" x14ac:dyDescent="0.35">
      <c r="L1550" s="10"/>
    </row>
    <row r="1551" spans="12:12" x14ac:dyDescent="0.35">
      <c r="L1551" s="10"/>
    </row>
    <row r="1552" spans="12:12" x14ac:dyDescent="0.35">
      <c r="L1552" s="10"/>
    </row>
    <row r="1553" spans="12:12" x14ac:dyDescent="0.35">
      <c r="L1553" s="10"/>
    </row>
    <row r="1554" spans="12:12" x14ac:dyDescent="0.35">
      <c r="L1554" s="10"/>
    </row>
    <row r="1555" spans="12:12" x14ac:dyDescent="0.35">
      <c r="L1555" s="10"/>
    </row>
    <row r="1556" spans="12:12" x14ac:dyDescent="0.35">
      <c r="L1556" s="10"/>
    </row>
    <row r="1557" spans="12:12" x14ac:dyDescent="0.35">
      <c r="L1557" s="10"/>
    </row>
    <row r="1558" spans="12:12" x14ac:dyDescent="0.35">
      <c r="L1558" s="10"/>
    </row>
    <row r="1559" spans="12:12" x14ac:dyDescent="0.35">
      <c r="L1559" s="10"/>
    </row>
    <row r="1560" spans="12:12" x14ac:dyDescent="0.35">
      <c r="L1560" s="10"/>
    </row>
    <row r="1561" spans="12:12" x14ac:dyDescent="0.35">
      <c r="L1561" s="10"/>
    </row>
    <row r="1562" spans="12:12" x14ac:dyDescent="0.35">
      <c r="L1562" s="10"/>
    </row>
    <row r="1563" spans="12:12" x14ac:dyDescent="0.35">
      <c r="L1563" s="10"/>
    </row>
    <row r="1564" spans="12:12" x14ac:dyDescent="0.35">
      <c r="L1564" s="10"/>
    </row>
    <row r="1565" spans="12:12" x14ac:dyDescent="0.35">
      <c r="L1565" s="10"/>
    </row>
    <row r="1566" spans="12:12" x14ac:dyDescent="0.35">
      <c r="L1566" s="10"/>
    </row>
    <row r="1567" spans="12:12" x14ac:dyDescent="0.35">
      <c r="L1567" s="10"/>
    </row>
    <row r="1568" spans="12:12" x14ac:dyDescent="0.35">
      <c r="L1568" s="10"/>
    </row>
    <row r="1569" spans="12:12" x14ac:dyDescent="0.35">
      <c r="L1569" s="10"/>
    </row>
    <row r="1570" spans="12:12" x14ac:dyDescent="0.35">
      <c r="L1570" s="10"/>
    </row>
    <row r="1571" spans="12:12" x14ac:dyDescent="0.35">
      <c r="L1571" s="10"/>
    </row>
    <row r="1572" spans="12:12" x14ac:dyDescent="0.35">
      <c r="L1572" s="10"/>
    </row>
    <row r="1573" spans="12:12" x14ac:dyDescent="0.35">
      <c r="L1573" s="10"/>
    </row>
    <row r="1574" spans="12:12" x14ac:dyDescent="0.35">
      <c r="L1574" s="10"/>
    </row>
    <row r="1575" spans="12:12" x14ac:dyDescent="0.35">
      <c r="L1575" s="10"/>
    </row>
    <row r="1576" spans="12:12" x14ac:dyDescent="0.35">
      <c r="L1576" s="10"/>
    </row>
    <row r="1577" spans="12:12" x14ac:dyDescent="0.35">
      <c r="L1577" s="10"/>
    </row>
    <row r="1578" spans="12:12" x14ac:dyDescent="0.35">
      <c r="L1578" s="10"/>
    </row>
    <row r="1579" spans="12:12" x14ac:dyDescent="0.35">
      <c r="L1579" s="10"/>
    </row>
    <row r="1580" spans="12:12" x14ac:dyDescent="0.35">
      <c r="L1580" s="10"/>
    </row>
    <row r="1581" spans="12:12" x14ac:dyDescent="0.35">
      <c r="L1581" s="10"/>
    </row>
    <row r="1582" spans="12:12" x14ac:dyDescent="0.35">
      <c r="L1582" s="10"/>
    </row>
    <row r="1583" spans="12:12" x14ac:dyDescent="0.35">
      <c r="L1583" s="10"/>
    </row>
    <row r="1584" spans="12:12" x14ac:dyDescent="0.35">
      <c r="L1584" s="10"/>
    </row>
    <row r="1585" spans="12:12" x14ac:dyDescent="0.35">
      <c r="L1585" s="10"/>
    </row>
    <row r="1586" spans="12:12" x14ac:dyDescent="0.35">
      <c r="L1586" s="10"/>
    </row>
    <row r="1587" spans="12:12" x14ac:dyDescent="0.35">
      <c r="L1587" s="10"/>
    </row>
    <row r="1588" spans="12:12" x14ac:dyDescent="0.35">
      <c r="L1588" s="10"/>
    </row>
    <row r="1589" spans="12:12" x14ac:dyDescent="0.35">
      <c r="L1589" s="10"/>
    </row>
    <row r="1590" spans="12:12" x14ac:dyDescent="0.35">
      <c r="L1590" s="10"/>
    </row>
    <row r="1591" spans="12:12" x14ac:dyDescent="0.35">
      <c r="L1591" s="10"/>
    </row>
    <row r="1592" spans="12:12" x14ac:dyDescent="0.35">
      <c r="L1592" s="10"/>
    </row>
    <row r="1593" spans="12:12" x14ac:dyDescent="0.35">
      <c r="L1593" s="10"/>
    </row>
    <row r="1594" spans="12:12" x14ac:dyDescent="0.35">
      <c r="L1594" s="10"/>
    </row>
    <row r="1595" spans="12:12" x14ac:dyDescent="0.35">
      <c r="L1595" s="10"/>
    </row>
    <row r="1596" spans="12:12" x14ac:dyDescent="0.35">
      <c r="L1596" s="10"/>
    </row>
    <row r="1597" spans="12:12" x14ac:dyDescent="0.35">
      <c r="L1597" s="10"/>
    </row>
    <row r="1598" spans="12:12" x14ac:dyDescent="0.35">
      <c r="L1598" s="10"/>
    </row>
    <row r="1599" spans="12:12" x14ac:dyDescent="0.35">
      <c r="L1599" s="10"/>
    </row>
    <row r="1600" spans="12:12" x14ac:dyDescent="0.35">
      <c r="L1600" s="10"/>
    </row>
    <row r="1601" spans="12:12" x14ac:dyDescent="0.35">
      <c r="L1601" s="10"/>
    </row>
    <row r="1602" spans="12:12" x14ac:dyDescent="0.35">
      <c r="L1602" s="10"/>
    </row>
    <row r="1603" spans="12:12" x14ac:dyDescent="0.35">
      <c r="L1603" s="10"/>
    </row>
    <row r="1604" spans="12:12" x14ac:dyDescent="0.35">
      <c r="L1604" s="10"/>
    </row>
    <row r="1605" spans="12:12" x14ac:dyDescent="0.35">
      <c r="L1605" s="10"/>
    </row>
    <row r="1606" spans="12:12" x14ac:dyDescent="0.35">
      <c r="L1606" s="10"/>
    </row>
    <row r="1607" spans="12:12" x14ac:dyDescent="0.35">
      <c r="L1607" s="10"/>
    </row>
    <row r="1608" spans="12:12" x14ac:dyDescent="0.35">
      <c r="L1608" s="10"/>
    </row>
    <row r="1609" spans="12:12" x14ac:dyDescent="0.35">
      <c r="L1609" s="10"/>
    </row>
    <row r="1610" spans="12:12" x14ac:dyDescent="0.35">
      <c r="L1610" s="10"/>
    </row>
    <row r="1611" spans="12:12" x14ac:dyDescent="0.35">
      <c r="L1611" s="10"/>
    </row>
    <row r="1612" spans="12:12" x14ac:dyDescent="0.35">
      <c r="L1612" s="10"/>
    </row>
    <row r="1613" spans="12:12" x14ac:dyDescent="0.35">
      <c r="L1613" s="10"/>
    </row>
    <row r="1614" spans="12:12" x14ac:dyDescent="0.35">
      <c r="L1614" s="10"/>
    </row>
    <row r="1615" spans="12:12" x14ac:dyDescent="0.35">
      <c r="L1615" s="10"/>
    </row>
    <row r="1616" spans="12:12" x14ac:dyDescent="0.35">
      <c r="L1616" s="10"/>
    </row>
    <row r="1617" spans="12:12" x14ac:dyDescent="0.35">
      <c r="L1617" s="10"/>
    </row>
    <row r="1618" spans="12:12" x14ac:dyDescent="0.35">
      <c r="L1618" s="10"/>
    </row>
    <row r="1619" spans="12:12" x14ac:dyDescent="0.35">
      <c r="L1619" s="10"/>
    </row>
    <row r="1620" spans="12:12" x14ac:dyDescent="0.35">
      <c r="L1620" s="10"/>
    </row>
    <row r="1621" spans="12:12" x14ac:dyDescent="0.35">
      <c r="L1621" s="10"/>
    </row>
    <row r="1622" spans="12:12" x14ac:dyDescent="0.35">
      <c r="L1622" s="10"/>
    </row>
    <row r="1623" spans="12:12" x14ac:dyDescent="0.35">
      <c r="L1623" s="10"/>
    </row>
    <row r="1624" spans="12:12" x14ac:dyDescent="0.35">
      <c r="L1624" s="10"/>
    </row>
    <row r="1625" spans="12:12" x14ac:dyDescent="0.35">
      <c r="L1625" s="10"/>
    </row>
    <row r="1626" spans="12:12" x14ac:dyDescent="0.35">
      <c r="L1626" s="10"/>
    </row>
    <row r="1627" spans="12:12" x14ac:dyDescent="0.35">
      <c r="L1627" s="10"/>
    </row>
    <row r="1628" spans="12:12" x14ac:dyDescent="0.35">
      <c r="L1628" s="10"/>
    </row>
    <row r="1629" spans="12:12" x14ac:dyDescent="0.35">
      <c r="L1629" s="10"/>
    </row>
    <row r="1630" spans="12:12" x14ac:dyDescent="0.35">
      <c r="L1630" s="10"/>
    </row>
    <row r="1631" spans="12:12" x14ac:dyDescent="0.35">
      <c r="L1631" s="10"/>
    </row>
    <row r="1632" spans="12:12" x14ac:dyDescent="0.35">
      <c r="L1632" s="10"/>
    </row>
    <row r="1633" spans="12:12" x14ac:dyDescent="0.35">
      <c r="L1633" s="10"/>
    </row>
    <row r="1634" spans="12:12" x14ac:dyDescent="0.35">
      <c r="L1634" s="10"/>
    </row>
    <row r="1635" spans="12:12" x14ac:dyDescent="0.35">
      <c r="L1635" s="10"/>
    </row>
    <row r="1636" spans="12:12" x14ac:dyDescent="0.35">
      <c r="L1636" s="10"/>
    </row>
    <row r="1637" spans="12:12" x14ac:dyDescent="0.35">
      <c r="L1637" s="10"/>
    </row>
    <row r="1638" spans="12:12" x14ac:dyDescent="0.35">
      <c r="L1638" s="10"/>
    </row>
    <row r="1639" spans="12:12" x14ac:dyDescent="0.35">
      <c r="L1639" s="10"/>
    </row>
    <row r="1640" spans="12:12" x14ac:dyDescent="0.35">
      <c r="L1640" s="10"/>
    </row>
    <row r="1641" spans="12:12" x14ac:dyDescent="0.35">
      <c r="L1641" s="10"/>
    </row>
    <row r="1642" spans="12:12" x14ac:dyDescent="0.35">
      <c r="L1642" s="10"/>
    </row>
    <row r="1643" spans="12:12" x14ac:dyDescent="0.35">
      <c r="L1643" s="10"/>
    </row>
    <row r="1644" spans="12:12" x14ac:dyDescent="0.35">
      <c r="L1644" s="10"/>
    </row>
    <row r="1645" spans="12:12" x14ac:dyDescent="0.35">
      <c r="L1645" s="10"/>
    </row>
    <row r="1646" spans="12:12" x14ac:dyDescent="0.35">
      <c r="L1646" s="10"/>
    </row>
    <row r="1647" spans="12:12" x14ac:dyDescent="0.35">
      <c r="L1647" s="10"/>
    </row>
    <row r="1648" spans="12:12" x14ac:dyDescent="0.35">
      <c r="L1648" s="10"/>
    </row>
    <row r="1649" spans="12:12" x14ac:dyDescent="0.35">
      <c r="L1649" s="10"/>
    </row>
    <row r="1650" spans="12:12" x14ac:dyDescent="0.35">
      <c r="L1650" s="10"/>
    </row>
    <row r="1651" spans="12:12" x14ac:dyDescent="0.35">
      <c r="L1651" s="10"/>
    </row>
    <row r="1652" spans="12:12" x14ac:dyDescent="0.35">
      <c r="L1652" s="10"/>
    </row>
    <row r="1653" spans="12:12" x14ac:dyDescent="0.35">
      <c r="L1653" s="10"/>
    </row>
    <row r="1654" spans="12:12" x14ac:dyDescent="0.35">
      <c r="L1654" s="10"/>
    </row>
    <row r="1655" spans="12:12" x14ac:dyDescent="0.35">
      <c r="L1655" s="10"/>
    </row>
    <row r="1656" spans="12:12" x14ac:dyDescent="0.35">
      <c r="L1656" s="10"/>
    </row>
    <row r="1657" spans="12:12" x14ac:dyDescent="0.35">
      <c r="L1657" s="10"/>
    </row>
    <row r="1658" spans="12:12" x14ac:dyDescent="0.35">
      <c r="L1658" s="10"/>
    </row>
    <row r="1659" spans="12:12" x14ac:dyDescent="0.35">
      <c r="L1659" s="10"/>
    </row>
    <row r="1660" spans="12:12" x14ac:dyDescent="0.35">
      <c r="L1660" s="10"/>
    </row>
    <row r="1661" spans="12:12" x14ac:dyDescent="0.35">
      <c r="L1661" s="10"/>
    </row>
    <row r="1662" spans="12:12" x14ac:dyDescent="0.35">
      <c r="L1662" s="10"/>
    </row>
    <row r="1663" spans="12:12" x14ac:dyDescent="0.35">
      <c r="L1663" s="10"/>
    </row>
    <row r="1664" spans="12:12" x14ac:dyDescent="0.35">
      <c r="L1664" s="10"/>
    </row>
    <row r="1665" spans="12:12" x14ac:dyDescent="0.35">
      <c r="L1665" s="10"/>
    </row>
    <row r="1666" spans="12:12" x14ac:dyDescent="0.35">
      <c r="L1666" s="10"/>
    </row>
    <row r="1667" spans="12:12" x14ac:dyDescent="0.35">
      <c r="L1667" s="10"/>
    </row>
    <row r="1668" spans="12:12" x14ac:dyDescent="0.35">
      <c r="L1668" s="10"/>
    </row>
    <row r="1669" spans="12:12" x14ac:dyDescent="0.35">
      <c r="L1669" s="10"/>
    </row>
    <row r="1670" spans="12:12" x14ac:dyDescent="0.35">
      <c r="L1670" s="10"/>
    </row>
    <row r="1671" spans="12:12" x14ac:dyDescent="0.35">
      <c r="L1671" s="10"/>
    </row>
    <row r="1672" spans="12:12" x14ac:dyDescent="0.35">
      <c r="L1672" s="10"/>
    </row>
    <row r="1673" spans="12:12" x14ac:dyDescent="0.35">
      <c r="L1673" s="10"/>
    </row>
    <row r="1674" spans="12:12" x14ac:dyDescent="0.35">
      <c r="L1674" s="10"/>
    </row>
    <row r="1675" spans="12:12" x14ac:dyDescent="0.35">
      <c r="L1675" s="10"/>
    </row>
    <row r="1676" spans="12:12" x14ac:dyDescent="0.35">
      <c r="L1676" s="10"/>
    </row>
    <row r="1677" spans="12:12" x14ac:dyDescent="0.35">
      <c r="L1677" s="10"/>
    </row>
    <row r="1678" spans="12:12" x14ac:dyDescent="0.35">
      <c r="L1678" s="10"/>
    </row>
    <row r="1679" spans="12:12" x14ac:dyDescent="0.35">
      <c r="L1679" s="10"/>
    </row>
    <row r="1680" spans="12:12" x14ac:dyDescent="0.35">
      <c r="L1680" s="10"/>
    </row>
    <row r="1681" spans="12:12" x14ac:dyDescent="0.35">
      <c r="L1681" s="10"/>
    </row>
    <row r="1682" spans="12:12" x14ac:dyDescent="0.35">
      <c r="L1682" s="10"/>
    </row>
    <row r="1683" spans="12:12" x14ac:dyDescent="0.35">
      <c r="L1683" s="10"/>
    </row>
    <row r="1684" spans="12:12" x14ac:dyDescent="0.35">
      <c r="L1684" s="10"/>
    </row>
    <row r="1685" spans="12:12" x14ac:dyDescent="0.35">
      <c r="L1685" s="10"/>
    </row>
    <row r="1686" spans="12:12" x14ac:dyDescent="0.35">
      <c r="L1686" s="10"/>
    </row>
    <row r="1687" spans="12:12" x14ac:dyDescent="0.35">
      <c r="L1687" s="10"/>
    </row>
    <row r="1688" spans="12:12" x14ac:dyDescent="0.35">
      <c r="L1688" s="10"/>
    </row>
    <row r="1689" spans="12:12" x14ac:dyDescent="0.35">
      <c r="L1689" s="10"/>
    </row>
    <row r="1690" spans="12:12" x14ac:dyDescent="0.35">
      <c r="L1690" s="10"/>
    </row>
    <row r="1691" spans="12:12" x14ac:dyDescent="0.35">
      <c r="L1691" s="10"/>
    </row>
    <row r="1692" spans="12:12" x14ac:dyDescent="0.35">
      <c r="L1692" s="10"/>
    </row>
    <row r="1693" spans="12:12" x14ac:dyDescent="0.35">
      <c r="L1693" s="10"/>
    </row>
    <row r="1694" spans="12:12" x14ac:dyDescent="0.35">
      <c r="L1694" s="10"/>
    </row>
    <row r="1695" spans="12:12" x14ac:dyDescent="0.35">
      <c r="L1695" s="10"/>
    </row>
    <row r="1696" spans="12:12" x14ac:dyDescent="0.35">
      <c r="L1696" s="10"/>
    </row>
    <row r="1697" spans="12:12" x14ac:dyDescent="0.35">
      <c r="L1697" s="10"/>
    </row>
    <row r="1698" spans="12:12" x14ac:dyDescent="0.35">
      <c r="L1698" s="10"/>
    </row>
    <row r="1699" spans="12:12" x14ac:dyDescent="0.35">
      <c r="L1699" s="10"/>
    </row>
    <row r="1700" spans="12:12" x14ac:dyDescent="0.35">
      <c r="L1700" s="10"/>
    </row>
    <row r="1701" spans="12:12" x14ac:dyDescent="0.35">
      <c r="L1701" s="10"/>
    </row>
    <row r="1702" spans="12:12" x14ac:dyDescent="0.35">
      <c r="L1702" s="10"/>
    </row>
    <row r="1703" spans="12:12" x14ac:dyDescent="0.35">
      <c r="L1703" s="10"/>
    </row>
    <row r="1704" spans="12:12" x14ac:dyDescent="0.35">
      <c r="L1704" s="10"/>
    </row>
    <row r="1705" spans="12:12" x14ac:dyDescent="0.35">
      <c r="L1705" s="10"/>
    </row>
    <row r="1706" spans="12:12" x14ac:dyDescent="0.35">
      <c r="L1706" s="10"/>
    </row>
    <row r="1707" spans="12:12" x14ac:dyDescent="0.35">
      <c r="L1707" s="10"/>
    </row>
    <row r="1708" spans="12:12" x14ac:dyDescent="0.35">
      <c r="L1708" s="10"/>
    </row>
    <row r="1709" spans="12:12" x14ac:dyDescent="0.35">
      <c r="L1709" s="10"/>
    </row>
    <row r="1710" spans="12:12" x14ac:dyDescent="0.35">
      <c r="L1710" s="10"/>
    </row>
    <row r="1711" spans="12:12" x14ac:dyDescent="0.35">
      <c r="L1711" s="10"/>
    </row>
    <row r="1712" spans="12:12" x14ac:dyDescent="0.35">
      <c r="L1712" s="10"/>
    </row>
    <row r="1713" spans="12:12" x14ac:dyDescent="0.35">
      <c r="L1713" s="10"/>
    </row>
    <row r="1714" spans="12:12" x14ac:dyDescent="0.35">
      <c r="L1714" s="10"/>
    </row>
    <row r="1715" spans="12:12" x14ac:dyDescent="0.35">
      <c r="L1715" s="10"/>
    </row>
    <row r="1716" spans="12:12" x14ac:dyDescent="0.35">
      <c r="L1716" s="10"/>
    </row>
    <row r="1717" spans="12:12" x14ac:dyDescent="0.35">
      <c r="L1717" s="10"/>
    </row>
    <row r="1718" spans="12:12" x14ac:dyDescent="0.35">
      <c r="L1718" s="10"/>
    </row>
    <row r="1719" spans="12:12" x14ac:dyDescent="0.35">
      <c r="L1719" s="10"/>
    </row>
    <row r="1720" spans="12:12" x14ac:dyDescent="0.35">
      <c r="L1720" s="10"/>
    </row>
    <row r="1721" spans="12:12" x14ac:dyDescent="0.35">
      <c r="L1721" s="10"/>
    </row>
    <row r="1722" spans="12:12" x14ac:dyDescent="0.35">
      <c r="L1722" s="10"/>
    </row>
    <row r="1723" spans="12:12" x14ac:dyDescent="0.35">
      <c r="L1723" s="10"/>
    </row>
    <row r="1724" spans="12:12" x14ac:dyDescent="0.35">
      <c r="L1724" s="10"/>
    </row>
    <row r="1725" spans="12:12" x14ac:dyDescent="0.35">
      <c r="L1725" s="10"/>
    </row>
    <row r="1726" spans="12:12" x14ac:dyDescent="0.35">
      <c r="L1726" s="10"/>
    </row>
    <row r="1727" spans="12:12" x14ac:dyDescent="0.35">
      <c r="L1727" s="10"/>
    </row>
    <row r="1728" spans="12:12" x14ac:dyDescent="0.35">
      <c r="L1728" s="10"/>
    </row>
    <row r="1729" spans="12:12" x14ac:dyDescent="0.35">
      <c r="L1729" s="10"/>
    </row>
    <row r="1730" spans="12:12" x14ac:dyDescent="0.35">
      <c r="L1730" s="10"/>
    </row>
    <row r="1731" spans="12:12" x14ac:dyDescent="0.35">
      <c r="L1731" s="10"/>
    </row>
    <row r="1732" spans="12:12" x14ac:dyDescent="0.35">
      <c r="L1732" s="10"/>
    </row>
    <row r="1733" spans="12:12" x14ac:dyDescent="0.35">
      <c r="L1733" s="10"/>
    </row>
    <row r="1734" spans="12:12" x14ac:dyDescent="0.35">
      <c r="L1734" s="10"/>
    </row>
    <row r="1735" spans="12:12" x14ac:dyDescent="0.35">
      <c r="L1735" s="10"/>
    </row>
    <row r="1736" spans="12:12" x14ac:dyDescent="0.35">
      <c r="L1736" s="10"/>
    </row>
    <row r="1737" spans="12:12" x14ac:dyDescent="0.35">
      <c r="L1737" s="10"/>
    </row>
    <row r="1738" spans="12:12" x14ac:dyDescent="0.35">
      <c r="L1738" s="10"/>
    </row>
    <row r="1739" spans="12:12" x14ac:dyDescent="0.35">
      <c r="L1739" s="10"/>
    </row>
    <row r="1740" spans="12:12" x14ac:dyDescent="0.35">
      <c r="L1740" s="10"/>
    </row>
    <row r="1741" spans="12:12" x14ac:dyDescent="0.35">
      <c r="L1741" s="10"/>
    </row>
    <row r="1742" spans="12:12" x14ac:dyDescent="0.35">
      <c r="L1742" s="10"/>
    </row>
    <row r="1743" spans="12:12" x14ac:dyDescent="0.35">
      <c r="L1743" s="10"/>
    </row>
    <row r="1744" spans="12:12" x14ac:dyDescent="0.35">
      <c r="L1744" s="10"/>
    </row>
    <row r="1745" spans="12:12" x14ac:dyDescent="0.35">
      <c r="L1745" s="10"/>
    </row>
    <row r="1746" spans="12:12" x14ac:dyDescent="0.35">
      <c r="L1746" s="10"/>
    </row>
    <row r="1747" spans="12:12" x14ac:dyDescent="0.35">
      <c r="L1747" s="10"/>
    </row>
    <row r="1748" spans="12:12" x14ac:dyDescent="0.35">
      <c r="L1748" s="10"/>
    </row>
    <row r="1749" spans="12:12" x14ac:dyDescent="0.35">
      <c r="L1749" s="10"/>
    </row>
    <row r="1750" spans="12:12" x14ac:dyDescent="0.35">
      <c r="L1750" s="10"/>
    </row>
    <row r="1751" spans="12:12" x14ac:dyDescent="0.35">
      <c r="L1751" s="10"/>
    </row>
    <row r="1752" spans="12:12" x14ac:dyDescent="0.35">
      <c r="L1752" s="10"/>
    </row>
    <row r="1753" spans="12:12" x14ac:dyDescent="0.35">
      <c r="L1753" s="10"/>
    </row>
    <row r="1754" spans="12:12" x14ac:dyDescent="0.35">
      <c r="L1754" s="10"/>
    </row>
    <row r="1755" spans="12:12" x14ac:dyDescent="0.35">
      <c r="L1755" s="10"/>
    </row>
    <row r="1756" spans="12:12" x14ac:dyDescent="0.35">
      <c r="L1756" s="10"/>
    </row>
    <row r="1757" spans="12:12" x14ac:dyDescent="0.35">
      <c r="L1757" s="10"/>
    </row>
    <row r="1758" spans="12:12" x14ac:dyDescent="0.35">
      <c r="L1758" s="10"/>
    </row>
    <row r="1759" spans="12:12" x14ac:dyDescent="0.35">
      <c r="L1759" s="10"/>
    </row>
    <row r="1760" spans="12:12" x14ac:dyDescent="0.35">
      <c r="L1760" s="10"/>
    </row>
    <row r="1761" spans="12:12" x14ac:dyDescent="0.35">
      <c r="L1761" s="10"/>
    </row>
    <row r="1762" spans="12:12" x14ac:dyDescent="0.35">
      <c r="L1762" s="10"/>
    </row>
    <row r="1763" spans="12:12" x14ac:dyDescent="0.35">
      <c r="L1763" s="10"/>
    </row>
    <row r="1764" spans="12:12" x14ac:dyDescent="0.35">
      <c r="L1764" s="10"/>
    </row>
    <row r="1765" spans="12:12" x14ac:dyDescent="0.35">
      <c r="L1765" s="10"/>
    </row>
    <row r="1766" spans="12:12" x14ac:dyDescent="0.35">
      <c r="L1766" s="10"/>
    </row>
    <row r="1767" spans="12:12" x14ac:dyDescent="0.35">
      <c r="L1767" s="10"/>
    </row>
    <row r="1768" spans="12:12" x14ac:dyDescent="0.35">
      <c r="L1768" s="10"/>
    </row>
    <row r="1769" spans="12:12" x14ac:dyDescent="0.35">
      <c r="L1769" s="10"/>
    </row>
    <row r="1770" spans="12:12" x14ac:dyDescent="0.35">
      <c r="L1770" s="10"/>
    </row>
    <row r="1771" spans="12:12" x14ac:dyDescent="0.35">
      <c r="L1771" s="10"/>
    </row>
    <row r="1772" spans="12:12" x14ac:dyDescent="0.35">
      <c r="L1772" s="10"/>
    </row>
    <row r="1773" spans="12:12" x14ac:dyDescent="0.35">
      <c r="L1773" s="10"/>
    </row>
    <row r="1774" spans="12:12" x14ac:dyDescent="0.35">
      <c r="L1774" s="10"/>
    </row>
    <row r="1775" spans="12:12" x14ac:dyDescent="0.35">
      <c r="L1775" s="10"/>
    </row>
    <row r="1776" spans="12:12" x14ac:dyDescent="0.35">
      <c r="L1776" s="10"/>
    </row>
    <row r="1777" spans="12:12" x14ac:dyDescent="0.35">
      <c r="L1777" s="10"/>
    </row>
    <row r="1778" spans="12:12" x14ac:dyDescent="0.35">
      <c r="L1778" s="10"/>
    </row>
    <row r="1779" spans="12:12" x14ac:dyDescent="0.35">
      <c r="L1779" s="10"/>
    </row>
    <row r="1780" spans="12:12" x14ac:dyDescent="0.35">
      <c r="L1780" s="10"/>
    </row>
    <row r="1781" spans="12:12" x14ac:dyDescent="0.35">
      <c r="L1781" s="10"/>
    </row>
    <row r="1782" spans="12:12" x14ac:dyDescent="0.35">
      <c r="L1782" s="10"/>
    </row>
    <row r="1783" spans="12:12" x14ac:dyDescent="0.35">
      <c r="L1783" s="10"/>
    </row>
    <row r="1784" spans="12:12" x14ac:dyDescent="0.35">
      <c r="L1784" s="10"/>
    </row>
    <row r="1785" spans="12:12" x14ac:dyDescent="0.35">
      <c r="L1785" s="10"/>
    </row>
    <row r="1786" spans="12:12" x14ac:dyDescent="0.35">
      <c r="L1786" s="10"/>
    </row>
    <row r="1787" spans="12:12" x14ac:dyDescent="0.35">
      <c r="L1787" s="10"/>
    </row>
    <row r="1788" spans="12:12" x14ac:dyDescent="0.35">
      <c r="L1788" s="10"/>
    </row>
    <row r="1789" spans="12:12" x14ac:dyDescent="0.35">
      <c r="L1789" s="10"/>
    </row>
    <row r="1790" spans="12:12" x14ac:dyDescent="0.35">
      <c r="L1790" s="10"/>
    </row>
    <row r="1791" spans="12:12" x14ac:dyDescent="0.35">
      <c r="L1791" s="10"/>
    </row>
    <row r="1792" spans="12:12" x14ac:dyDescent="0.35">
      <c r="L1792" s="10"/>
    </row>
    <row r="1793" spans="12:12" x14ac:dyDescent="0.35">
      <c r="L1793" s="10"/>
    </row>
    <row r="1794" spans="12:12" x14ac:dyDescent="0.35">
      <c r="L1794" s="10"/>
    </row>
    <row r="1795" spans="12:12" x14ac:dyDescent="0.35">
      <c r="L1795" s="10"/>
    </row>
    <row r="1796" spans="12:12" x14ac:dyDescent="0.35">
      <c r="L1796" s="10"/>
    </row>
    <row r="1797" spans="12:12" x14ac:dyDescent="0.35">
      <c r="L1797" s="10"/>
    </row>
    <row r="1798" spans="12:12" x14ac:dyDescent="0.35">
      <c r="L1798" s="10"/>
    </row>
    <row r="1799" spans="12:12" x14ac:dyDescent="0.35">
      <c r="L1799" s="10"/>
    </row>
    <row r="1800" spans="12:12" x14ac:dyDescent="0.35">
      <c r="L1800" s="10"/>
    </row>
    <row r="1801" spans="12:12" x14ac:dyDescent="0.35">
      <c r="L1801" s="10"/>
    </row>
    <row r="1802" spans="12:12" x14ac:dyDescent="0.35">
      <c r="L1802" s="10"/>
    </row>
    <row r="1803" spans="12:12" x14ac:dyDescent="0.35">
      <c r="L1803" s="10"/>
    </row>
    <row r="1804" spans="12:12" x14ac:dyDescent="0.35">
      <c r="L1804" s="10"/>
    </row>
    <row r="1805" spans="12:12" x14ac:dyDescent="0.35">
      <c r="L1805" s="10"/>
    </row>
    <row r="1806" spans="12:12" x14ac:dyDescent="0.35">
      <c r="L1806" s="10"/>
    </row>
    <row r="1807" spans="12:12" x14ac:dyDescent="0.35">
      <c r="L1807" s="10"/>
    </row>
    <row r="1808" spans="12:12" x14ac:dyDescent="0.35">
      <c r="L1808" s="10"/>
    </row>
    <row r="1809" spans="12:12" x14ac:dyDescent="0.35">
      <c r="L1809" s="10"/>
    </row>
    <row r="1810" spans="12:12" x14ac:dyDescent="0.35">
      <c r="L1810" s="10"/>
    </row>
    <row r="1811" spans="12:12" x14ac:dyDescent="0.35">
      <c r="L1811" s="10"/>
    </row>
    <row r="1812" spans="12:12" x14ac:dyDescent="0.35">
      <c r="L1812" s="10"/>
    </row>
    <row r="1813" spans="12:12" x14ac:dyDescent="0.35">
      <c r="L1813" s="10"/>
    </row>
    <row r="1814" spans="12:12" x14ac:dyDescent="0.35">
      <c r="L1814" s="10"/>
    </row>
    <row r="1815" spans="12:12" x14ac:dyDescent="0.35">
      <c r="L1815" s="10"/>
    </row>
    <row r="1816" spans="12:12" x14ac:dyDescent="0.35">
      <c r="L1816" s="10"/>
    </row>
    <row r="1817" spans="12:12" x14ac:dyDescent="0.35">
      <c r="L1817" s="10"/>
    </row>
    <row r="1818" spans="12:12" x14ac:dyDescent="0.35">
      <c r="L1818" s="10"/>
    </row>
    <row r="1819" spans="12:12" x14ac:dyDescent="0.35">
      <c r="L1819" s="10"/>
    </row>
    <row r="1820" spans="12:12" x14ac:dyDescent="0.35">
      <c r="L1820" s="10"/>
    </row>
    <row r="1821" spans="12:12" x14ac:dyDescent="0.35">
      <c r="L1821" s="10"/>
    </row>
    <row r="1822" spans="12:12" x14ac:dyDescent="0.35">
      <c r="L1822" s="10"/>
    </row>
    <row r="1823" spans="12:12" x14ac:dyDescent="0.35">
      <c r="L1823" s="10"/>
    </row>
    <row r="1824" spans="12:12" x14ac:dyDescent="0.35">
      <c r="L1824" s="10"/>
    </row>
    <row r="1825" spans="12:12" x14ac:dyDescent="0.35">
      <c r="L1825" s="10"/>
    </row>
    <row r="1826" spans="12:12" x14ac:dyDescent="0.35">
      <c r="L1826" s="10"/>
    </row>
    <row r="1827" spans="12:12" x14ac:dyDescent="0.35">
      <c r="L1827" s="10"/>
    </row>
    <row r="1828" spans="12:12" x14ac:dyDescent="0.35">
      <c r="L1828" s="10"/>
    </row>
    <row r="1829" spans="12:12" x14ac:dyDescent="0.35">
      <c r="L1829" s="10"/>
    </row>
    <row r="1830" spans="12:12" x14ac:dyDescent="0.35">
      <c r="L1830" s="10"/>
    </row>
    <row r="1831" spans="12:12" x14ac:dyDescent="0.35">
      <c r="L1831" s="10"/>
    </row>
    <row r="1832" spans="12:12" x14ac:dyDescent="0.35">
      <c r="L1832" s="10"/>
    </row>
    <row r="1833" spans="12:12" x14ac:dyDescent="0.35">
      <c r="L1833" s="10"/>
    </row>
    <row r="1834" spans="12:12" x14ac:dyDescent="0.35">
      <c r="L1834" s="10"/>
    </row>
    <row r="1835" spans="12:12" x14ac:dyDescent="0.35">
      <c r="L1835" s="10"/>
    </row>
    <row r="1836" spans="12:12" x14ac:dyDescent="0.35">
      <c r="L1836" s="10"/>
    </row>
    <row r="1837" spans="12:12" x14ac:dyDescent="0.35">
      <c r="L1837" s="10"/>
    </row>
    <row r="1838" spans="12:12" x14ac:dyDescent="0.35">
      <c r="L1838" s="10"/>
    </row>
    <row r="1839" spans="12:12" x14ac:dyDescent="0.35">
      <c r="L1839" s="10"/>
    </row>
    <row r="1840" spans="12:12" x14ac:dyDescent="0.35">
      <c r="L1840" s="10"/>
    </row>
    <row r="1841" spans="12:12" x14ac:dyDescent="0.35">
      <c r="L1841" s="10"/>
    </row>
    <row r="1842" spans="12:12" x14ac:dyDescent="0.35">
      <c r="L1842" s="10"/>
    </row>
    <row r="1843" spans="12:12" x14ac:dyDescent="0.35">
      <c r="L1843" s="10"/>
    </row>
    <row r="1844" spans="12:12" x14ac:dyDescent="0.35">
      <c r="L1844" s="10"/>
    </row>
    <row r="1845" spans="12:12" x14ac:dyDescent="0.35">
      <c r="L1845" s="10"/>
    </row>
    <row r="1846" spans="12:12" x14ac:dyDescent="0.35">
      <c r="L1846" s="10"/>
    </row>
    <row r="1847" spans="12:12" x14ac:dyDescent="0.35">
      <c r="L1847" s="10"/>
    </row>
    <row r="1848" spans="12:12" x14ac:dyDescent="0.35">
      <c r="L1848" s="10"/>
    </row>
    <row r="1849" spans="12:12" x14ac:dyDescent="0.35">
      <c r="L1849" s="10"/>
    </row>
    <row r="1850" spans="12:12" x14ac:dyDescent="0.35">
      <c r="L1850" s="10"/>
    </row>
    <row r="1851" spans="12:12" x14ac:dyDescent="0.35">
      <c r="L1851" s="10"/>
    </row>
    <row r="1852" spans="12:12" x14ac:dyDescent="0.35">
      <c r="L1852" s="10"/>
    </row>
    <row r="1853" spans="12:12" x14ac:dyDescent="0.35">
      <c r="L1853" s="10"/>
    </row>
    <row r="1854" spans="12:12" x14ac:dyDescent="0.35">
      <c r="L1854" s="10"/>
    </row>
    <row r="1855" spans="12:12" x14ac:dyDescent="0.35">
      <c r="L1855" s="10"/>
    </row>
    <row r="1856" spans="12:12" x14ac:dyDescent="0.35">
      <c r="L1856" s="10"/>
    </row>
    <row r="1857" spans="12:12" x14ac:dyDescent="0.35">
      <c r="L1857" s="10"/>
    </row>
    <row r="1858" spans="12:12" x14ac:dyDescent="0.35">
      <c r="L1858" s="10"/>
    </row>
    <row r="1859" spans="12:12" x14ac:dyDescent="0.35">
      <c r="L1859" s="10"/>
    </row>
    <row r="1860" spans="12:12" x14ac:dyDescent="0.35">
      <c r="L1860" s="10"/>
    </row>
    <row r="1861" spans="12:12" x14ac:dyDescent="0.35">
      <c r="L1861" s="10"/>
    </row>
    <row r="1862" spans="12:12" x14ac:dyDescent="0.35">
      <c r="L1862" s="10"/>
    </row>
    <row r="1863" spans="12:12" x14ac:dyDescent="0.35">
      <c r="L1863" s="10"/>
    </row>
    <row r="1864" spans="12:12" x14ac:dyDescent="0.35">
      <c r="L1864" s="10"/>
    </row>
    <row r="1865" spans="12:12" x14ac:dyDescent="0.35">
      <c r="L1865" s="10"/>
    </row>
    <row r="1866" spans="12:12" x14ac:dyDescent="0.35">
      <c r="L1866" s="10"/>
    </row>
    <row r="1867" spans="12:12" x14ac:dyDescent="0.35">
      <c r="L1867" s="10"/>
    </row>
    <row r="1868" spans="12:12" x14ac:dyDescent="0.35">
      <c r="L1868" s="10"/>
    </row>
    <row r="1869" spans="12:12" x14ac:dyDescent="0.35">
      <c r="L1869" s="10"/>
    </row>
    <row r="1870" spans="12:12" x14ac:dyDescent="0.35">
      <c r="L1870" s="10"/>
    </row>
    <row r="1871" spans="12:12" x14ac:dyDescent="0.35">
      <c r="L1871" s="10"/>
    </row>
    <row r="1872" spans="12:12" x14ac:dyDescent="0.35">
      <c r="L1872" s="10"/>
    </row>
    <row r="1873" spans="12:12" x14ac:dyDescent="0.35">
      <c r="L1873" s="10"/>
    </row>
    <row r="1874" spans="12:12" x14ac:dyDescent="0.35">
      <c r="L1874" s="10"/>
    </row>
    <row r="1875" spans="12:12" x14ac:dyDescent="0.35">
      <c r="L1875" s="10"/>
    </row>
    <row r="1876" spans="12:12" x14ac:dyDescent="0.35">
      <c r="L1876" s="10"/>
    </row>
    <row r="1877" spans="12:12" x14ac:dyDescent="0.35">
      <c r="L1877" s="10"/>
    </row>
    <row r="1878" spans="12:12" x14ac:dyDescent="0.35">
      <c r="L1878" s="10"/>
    </row>
    <row r="1879" spans="12:12" x14ac:dyDescent="0.35">
      <c r="L1879" s="10"/>
    </row>
    <row r="1880" spans="12:12" x14ac:dyDescent="0.35">
      <c r="L1880" s="10"/>
    </row>
    <row r="1881" spans="12:12" x14ac:dyDescent="0.35">
      <c r="L1881" s="10"/>
    </row>
    <row r="1882" spans="12:12" x14ac:dyDescent="0.35">
      <c r="L1882" s="10"/>
    </row>
    <row r="1883" spans="12:12" x14ac:dyDescent="0.35">
      <c r="L1883" s="10"/>
    </row>
    <row r="1884" spans="12:12" x14ac:dyDescent="0.35">
      <c r="L1884" s="10"/>
    </row>
    <row r="1885" spans="12:12" x14ac:dyDescent="0.35">
      <c r="L1885" s="10"/>
    </row>
    <row r="1886" spans="12:12" x14ac:dyDescent="0.35">
      <c r="L1886" s="10"/>
    </row>
    <row r="1887" spans="12:12" x14ac:dyDescent="0.35">
      <c r="L1887" s="10"/>
    </row>
    <row r="1888" spans="12:12" x14ac:dyDescent="0.35">
      <c r="L1888" s="10"/>
    </row>
    <row r="1889" spans="12:12" x14ac:dyDescent="0.35">
      <c r="L1889" s="10"/>
    </row>
    <row r="1890" spans="12:12" x14ac:dyDescent="0.35">
      <c r="L1890" s="10"/>
    </row>
    <row r="1891" spans="12:12" x14ac:dyDescent="0.35">
      <c r="L1891" s="10"/>
    </row>
    <row r="1892" spans="12:12" x14ac:dyDescent="0.35">
      <c r="L1892" s="10"/>
    </row>
    <row r="1893" spans="12:12" x14ac:dyDescent="0.35">
      <c r="L1893" s="10"/>
    </row>
    <row r="1894" spans="12:12" x14ac:dyDescent="0.35">
      <c r="L1894" s="10"/>
    </row>
    <row r="1895" spans="12:12" x14ac:dyDescent="0.35">
      <c r="L1895" s="10"/>
    </row>
    <row r="1896" spans="12:12" x14ac:dyDescent="0.35">
      <c r="L1896" s="10"/>
    </row>
    <row r="1897" spans="12:12" x14ac:dyDescent="0.35">
      <c r="L1897" s="10"/>
    </row>
    <row r="1898" spans="12:12" x14ac:dyDescent="0.35">
      <c r="L1898" s="10"/>
    </row>
    <row r="1899" spans="12:12" x14ac:dyDescent="0.35">
      <c r="L1899" s="10"/>
    </row>
    <row r="1900" spans="12:12" x14ac:dyDescent="0.35">
      <c r="L1900" s="10"/>
    </row>
    <row r="1901" spans="12:12" x14ac:dyDescent="0.35">
      <c r="L1901" s="10"/>
    </row>
    <row r="1902" spans="12:12" x14ac:dyDescent="0.35">
      <c r="L1902" s="10"/>
    </row>
    <row r="1903" spans="12:12" x14ac:dyDescent="0.35">
      <c r="L1903" s="10"/>
    </row>
    <row r="1904" spans="12:12" x14ac:dyDescent="0.35">
      <c r="L1904" s="10"/>
    </row>
    <row r="1905" spans="12:12" x14ac:dyDescent="0.35">
      <c r="L1905" s="10"/>
    </row>
    <row r="1906" spans="12:12" x14ac:dyDescent="0.35">
      <c r="L1906" s="10"/>
    </row>
    <row r="1907" spans="12:12" x14ac:dyDescent="0.35">
      <c r="L1907" s="10"/>
    </row>
    <row r="1908" spans="12:12" x14ac:dyDescent="0.35">
      <c r="L1908" s="10"/>
    </row>
    <row r="1909" spans="12:12" x14ac:dyDescent="0.35">
      <c r="L1909" s="10"/>
    </row>
    <row r="1910" spans="12:12" x14ac:dyDescent="0.35">
      <c r="L1910" s="10"/>
    </row>
    <row r="1911" spans="12:12" x14ac:dyDescent="0.35">
      <c r="L1911" s="10"/>
    </row>
    <row r="1912" spans="12:12" x14ac:dyDescent="0.35">
      <c r="L1912" s="10"/>
    </row>
    <row r="1913" spans="12:12" x14ac:dyDescent="0.35">
      <c r="L1913" s="10"/>
    </row>
    <row r="1914" spans="12:12" x14ac:dyDescent="0.35">
      <c r="L1914" s="10"/>
    </row>
    <row r="1915" spans="12:12" x14ac:dyDescent="0.35">
      <c r="L1915" s="10"/>
    </row>
    <row r="1916" spans="12:12" x14ac:dyDescent="0.35">
      <c r="L1916" s="10"/>
    </row>
    <row r="1917" spans="12:12" x14ac:dyDescent="0.35">
      <c r="L1917" s="10"/>
    </row>
    <row r="1918" spans="12:12" x14ac:dyDescent="0.35">
      <c r="L1918" s="10"/>
    </row>
    <row r="1919" spans="12:12" x14ac:dyDescent="0.35">
      <c r="L1919" s="10"/>
    </row>
    <row r="1920" spans="12:12" x14ac:dyDescent="0.35">
      <c r="L1920" s="10"/>
    </row>
    <row r="1921" spans="12:12" x14ac:dyDescent="0.35">
      <c r="L1921" s="10"/>
    </row>
    <row r="1922" spans="12:12" x14ac:dyDescent="0.35">
      <c r="L1922" s="10"/>
    </row>
    <row r="1923" spans="12:12" x14ac:dyDescent="0.35">
      <c r="L1923" s="10"/>
    </row>
    <row r="1924" spans="12:12" x14ac:dyDescent="0.35">
      <c r="L1924" s="10"/>
    </row>
    <row r="1925" spans="12:12" x14ac:dyDescent="0.35">
      <c r="L1925" s="10"/>
    </row>
    <row r="1926" spans="12:12" x14ac:dyDescent="0.35">
      <c r="L1926" s="10"/>
    </row>
    <row r="1927" spans="12:12" x14ac:dyDescent="0.35">
      <c r="L1927" s="10"/>
    </row>
    <row r="1928" spans="12:12" x14ac:dyDescent="0.35">
      <c r="L1928" s="10"/>
    </row>
    <row r="1929" spans="12:12" x14ac:dyDescent="0.35">
      <c r="L1929" s="10"/>
    </row>
    <row r="1930" spans="12:12" x14ac:dyDescent="0.35">
      <c r="L1930" s="10"/>
    </row>
    <row r="1931" spans="12:12" x14ac:dyDescent="0.35">
      <c r="L1931" s="10"/>
    </row>
    <row r="1932" spans="12:12" x14ac:dyDescent="0.35">
      <c r="L1932" s="10"/>
    </row>
    <row r="1933" spans="12:12" x14ac:dyDescent="0.35">
      <c r="L1933" s="10"/>
    </row>
    <row r="1934" spans="12:12" x14ac:dyDescent="0.35">
      <c r="L1934" s="10"/>
    </row>
    <row r="1935" spans="12:12" x14ac:dyDescent="0.35">
      <c r="L1935" s="10"/>
    </row>
    <row r="1936" spans="12:12" x14ac:dyDescent="0.35">
      <c r="L1936" s="10"/>
    </row>
    <row r="1937" spans="12:12" x14ac:dyDescent="0.35">
      <c r="L1937" s="10"/>
    </row>
    <row r="1938" spans="12:12" x14ac:dyDescent="0.35">
      <c r="L1938" s="10"/>
    </row>
    <row r="1939" spans="12:12" x14ac:dyDescent="0.35">
      <c r="L1939" s="10"/>
    </row>
    <row r="1940" spans="12:12" x14ac:dyDescent="0.35">
      <c r="L1940" s="10"/>
    </row>
    <row r="1941" spans="12:12" x14ac:dyDescent="0.35">
      <c r="L1941" s="10"/>
    </row>
    <row r="1942" spans="12:12" x14ac:dyDescent="0.35">
      <c r="L1942" s="10"/>
    </row>
    <row r="1943" spans="12:12" x14ac:dyDescent="0.35">
      <c r="L1943" s="10"/>
    </row>
    <row r="1944" spans="12:12" x14ac:dyDescent="0.35">
      <c r="L1944" s="10"/>
    </row>
    <row r="1945" spans="12:12" x14ac:dyDescent="0.35">
      <c r="L1945" s="10"/>
    </row>
    <row r="1946" spans="12:12" x14ac:dyDescent="0.35">
      <c r="L1946" s="10"/>
    </row>
    <row r="1947" spans="12:12" x14ac:dyDescent="0.35">
      <c r="L1947" s="10"/>
    </row>
    <row r="1948" spans="12:12" x14ac:dyDescent="0.35">
      <c r="L1948" s="10"/>
    </row>
    <row r="1949" spans="12:12" x14ac:dyDescent="0.35">
      <c r="L1949" s="10"/>
    </row>
    <row r="1950" spans="12:12" x14ac:dyDescent="0.35">
      <c r="L1950" s="10"/>
    </row>
    <row r="1951" spans="12:12" x14ac:dyDescent="0.35">
      <c r="L1951" s="10"/>
    </row>
    <row r="1952" spans="12:12" x14ac:dyDescent="0.35">
      <c r="L1952" s="10"/>
    </row>
    <row r="1953" spans="12:12" x14ac:dyDescent="0.35">
      <c r="L1953" s="10"/>
    </row>
    <row r="1954" spans="12:12" x14ac:dyDescent="0.35">
      <c r="L1954" s="10"/>
    </row>
    <row r="1955" spans="12:12" x14ac:dyDescent="0.35">
      <c r="L1955" s="10"/>
    </row>
    <row r="1956" spans="12:12" x14ac:dyDescent="0.35">
      <c r="L1956" s="10"/>
    </row>
    <row r="1957" spans="12:12" x14ac:dyDescent="0.35">
      <c r="L1957" s="10"/>
    </row>
    <row r="1958" spans="12:12" x14ac:dyDescent="0.35">
      <c r="L1958" s="10"/>
    </row>
    <row r="1959" spans="12:12" x14ac:dyDescent="0.35">
      <c r="L1959" s="10"/>
    </row>
    <row r="1960" spans="12:12" x14ac:dyDescent="0.35">
      <c r="L1960" s="10"/>
    </row>
    <row r="1961" spans="12:12" x14ac:dyDescent="0.35">
      <c r="L1961" s="10"/>
    </row>
    <row r="1962" spans="12:12" x14ac:dyDescent="0.35">
      <c r="L1962" s="10"/>
    </row>
    <row r="1963" spans="12:12" x14ac:dyDescent="0.35">
      <c r="L1963" s="10"/>
    </row>
    <row r="1964" spans="12:12" x14ac:dyDescent="0.35">
      <c r="L1964" s="10"/>
    </row>
    <row r="1965" spans="12:12" x14ac:dyDescent="0.35">
      <c r="L1965" s="10"/>
    </row>
    <row r="1966" spans="12:12" x14ac:dyDescent="0.35">
      <c r="L1966" s="10"/>
    </row>
    <row r="1967" spans="12:12" x14ac:dyDescent="0.35">
      <c r="L1967" s="10"/>
    </row>
    <row r="1968" spans="12:12" x14ac:dyDescent="0.35">
      <c r="L1968" s="10"/>
    </row>
    <row r="1969" spans="12:12" x14ac:dyDescent="0.35">
      <c r="L1969" s="10"/>
    </row>
    <row r="1970" spans="12:12" x14ac:dyDescent="0.35">
      <c r="L1970" s="10"/>
    </row>
    <row r="1971" spans="12:12" x14ac:dyDescent="0.35">
      <c r="L1971" s="10"/>
    </row>
    <row r="1972" spans="12:12" x14ac:dyDescent="0.35">
      <c r="L1972" s="10"/>
    </row>
    <row r="1973" spans="12:12" x14ac:dyDescent="0.35">
      <c r="L1973" s="10"/>
    </row>
    <row r="1974" spans="12:12" x14ac:dyDescent="0.35">
      <c r="L1974" s="10"/>
    </row>
    <row r="1975" spans="12:12" x14ac:dyDescent="0.35">
      <c r="L1975" s="10"/>
    </row>
    <row r="1976" spans="12:12" x14ac:dyDescent="0.35">
      <c r="L1976" s="10"/>
    </row>
    <row r="1977" spans="12:12" x14ac:dyDescent="0.35">
      <c r="L1977" s="10"/>
    </row>
    <row r="1978" spans="12:12" x14ac:dyDescent="0.35">
      <c r="L1978" s="10"/>
    </row>
    <row r="1979" spans="12:12" x14ac:dyDescent="0.35">
      <c r="L1979" s="10"/>
    </row>
    <row r="1980" spans="12:12" x14ac:dyDescent="0.35">
      <c r="L1980" s="10"/>
    </row>
    <row r="1981" spans="12:12" x14ac:dyDescent="0.35">
      <c r="L1981" s="10"/>
    </row>
    <row r="1982" spans="12:12" x14ac:dyDescent="0.35">
      <c r="L1982" s="10"/>
    </row>
    <row r="1983" spans="12:12" x14ac:dyDescent="0.35">
      <c r="L1983" s="10"/>
    </row>
    <row r="1984" spans="12:12" x14ac:dyDescent="0.35">
      <c r="L1984" s="10"/>
    </row>
    <row r="1985" spans="12:12" x14ac:dyDescent="0.35">
      <c r="L1985" s="10"/>
    </row>
    <row r="1986" spans="12:12" x14ac:dyDescent="0.35">
      <c r="L1986" s="10"/>
    </row>
    <row r="1987" spans="12:12" x14ac:dyDescent="0.35">
      <c r="L1987" s="10"/>
    </row>
    <row r="1988" spans="12:12" x14ac:dyDescent="0.35">
      <c r="L1988" s="10"/>
    </row>
    <row r="1989" spans="12:12" x14ac:dyDescent="0.35">
      <c r="L1989" s="10"/>
    </row>
    <row r="1990" spans="12:12" x14ac:dyDescent="0.35">
      <c r="L1990" s="10"/>
    </row>
    <row r="1991" spans="12:12" x14ac:dyDescent="0.35">
      <c r="L1991" s="10"/>
    </row>
    <row r="1992" spans="12:12" x14ac:dyDescent="0.35">
      <c r="L1992" s="10"/>
    </row>
    <row r="1993" spans="12:12" x14ac:dyDescent="0.35">
      <c r="L1993" s="10"/>
    </row>
    <row r="1994" spans="12:12" x14ac:dyDescent="0.35">
      <c r="L1994" s="10"/>
    </row>
    <row r="1995" spans="12:12" x14ac:dyDescent="0.35">
      <c r="L1995" s="10"/>
    </row>
    <row r="1996" spans="12:12" x14ac:dyDescent="0.35">
      <c r="L1996" s="10"/>
    </row>
    <row r="1997" spans="12:12" x14ac:dyDescent="0.35">
      <c r="L1997" s="10"/>
    </row>
    <row r="1998" spans="12:12" x14ac:dyDescent="0.35">
      <c r="L1998" s="10"/>
    </row>
    <row r="1999" spans="12:12" x14ac:dyDescent="0.35">
      <c r="L1999" s="10"/>
    </row>
    <row r="2000" spans="12:12" x14ac:dyDescent="0.35">
      <c r="L2000" s="10"/>
    </row>
    <row r="2001" spans="12:12" x14ac:dyDescent="0.35">
      <c r="L2001" s="10"/>
    </row>
    <row r="2002" spans="12:12" x14ac:dyDescent="0.35">
      <c r="L2002" s="10"/>
    </row>
    <row r="2003" spans="12:12" x14ac:dyDescent="0.35">
      <c r="L2003" s="10"/>
    </row>
    <row r="2004" spans="12:12" x14ac:dyDescent="0.35">
      <c r="L2004" s="10"/>
    </row>
    <row r="2005" spans="12:12" x14ac:dyDescent="0.35">
      <c r="L2005" s="10"/>
    </row>
    <row r="2006" spans="12:12" x14ac:dyDescent="0.35">
      <c r="L2006" s="10"/>
    </row>
    <row r="2007" spans="12:12" x14ac:dyDescent="0.35">
      <c r="L2007" s="10"/>
    </row>
    <row r="2008" spans="12:12" x14ac:dyDescent="0.35">
      <c r="L2008" s="10"/>
    </row>
    <row r="2009" spans="12:12" x14ac:dyDescent="0.35">
      <c r="L2009" s="10"/>
    </row>
    <row r="2010" spans="12:12" x14ac:dyDescent="0.35">
      <c r="L2010" s="10"/>
    </row>
    <row r="2011" spans="12:12" x14ac:dyDescent="0.35">
      <c r="L2011" s="10"/>
    </row>
    <row r="2012" spans="12:12" x14ac:dyDescent="0.35">
      <c r="L2012" s="10"/>
    </row>
    <row r="2013" spans="12:12" x14ac:dyDescent="0.35">
      <c r="L2013" s="10"/>
    </row>
    <row r="2014" spans="12:12" x14ac:dyDescent="0.35">
      <c r="L2014" s="10"/>
    </row>
    <row r="2015" spans="12:12" x14ac:dyDescent="0.35">
      <c r="L2015" s="10"/>
    </row>
    <row r="2016" spans="12:12" x14ac:dyDescent="0.35">
      <c r="L2016" s="10"/>
    </row>
    <row r="2017" spans="12:12" x14ac:dyDescent="0.35">
      <c r="L2017" s="10"/>
    </row>
    <row r="2018" spans="12:12" x14ac:dyDescent="0.35">
      <c r="L2018" s="10"/>
    </row>
    <row r="2019" spans="12:12" x14ac:dyDescent="0.35">
      <c r="L2019" s="10"/>
    </row>
    <row r="2020" spans="12:12" x14ac:dyDescent="0.35">
      <c r="L2020" s="10"/>
    </row>
    <row r="2021" spans="12:12" x14ac:dyDescent="0.35">
      <c r="L2021" s="10"/>
    </row>
    <row r="2022" spans="12:12" x14ac:dyDescent="0.35">
      <c r="L2022" s="10"/>
    </row>
    <row r="2023" spans="12:12" x14ac:dyDescent="0.35">
      <c r="L2023" s="10"/>
    </row>
    <row r="2024" spans="12:12" x14ac:dyDescent="0.35">
      <c r="L2024" s="10"/>
    </row>
    <row r="2025" spans="12:12" x14ac:dyDescent="0.35">
      <c r="L2025" s="10"/>
    </row>
    <row r="2026" spans="12:12" x14ac:dyDescent="0.35">
      <c r="L2026" s="10"/>
    </row>
    <row r="2027" spans="12:12" x14ac:dyDescent="0.35">
      <c r="L2027" s="10"/>
    </row>
    <row r="2028" spans="12:12" x14ac:dyDescent="0.35">
      <c r="L2028" s="10"/>
    </row>
    <row r="2029" spans="12:12" x14ac:dyDescent="0.35">
      <c r="L2029" s="10"/>
    </row>
    <row r="2030" spans="12:12" x14ac:dyDescent="0.35">
      <c r="L2030" s="10"/>
    </row>
    <row r="2031" spans="12:12" x14ac:dyDescent="0.35">
      <c r="L2031" s="10"/>
    </row>
    <row r="2032" spans="12:12" x14ac:dyDescent="0.35">
      <c r="L2032" s="10"/>
    </row>
    <row r="2033" spans="12:12" x14ac:dyDescent="0.35">
      <c r="L2033" s="10"/>
    </row>
    <row r="2034" spans="12:12" x14ac:dyDescent="0.35">
      <c r="L2034" s="10"/>
    </row>
    <row r="2035" spans="12:12" x14ac:dyDescent="0.35">
      <c r="L2035" s="10"/>
    </row>
    <row r="2036" spans="12:12" x14ac:dyDescent="0.35">
      <c r="L2036" s="10"/>
    </row>
    <row r="2037" spans="12:12" x14ac:dyDescent="0.35">
      <c r="L2037" s="10"/>
    </row>
    <row r="2038" spans="12:12" x14ac:dyDescent="0.35">
      <c r="L2038" s="10"/>
    </row>
    <row r="2039" spans="12:12" x14ac:dyDescent="0.35">
      <c r="L2039" s="10"/>
    </row>
    <row r="2040" spans="12:12" x14ac:dyDescent="0.35">
      <c r="L2040" s="10"/>
    </row>
    <row r="2041" spans="12:12" x14ac:dyDescent="0.35">
      <c r="L2041" s="10"/>
    </row>
    <row r="2042" spans="12:12" x14ac:dyDescent="0.35">
      <c r="L2042" s="10"/>
    </row>
    <row r="2043" spans="12:12" x14ac:dyDescent="0.35">
      <c r="L2043" s="10"/>
    </row>
    <row r="2044" spans="12:12" x14ac:dyDescent="0.35">
      <c r="L2044" s="10"/>
    </row>
    <row r="2045" spans="12:12" x14ac:dyDescent="0.35">
      <c r="L2045" s="10"/>
    </row>
    <row r="2046" spans="12:12" x14ac:dyDescent="0.35">
      <c r="L2046" s="10"/>
    </row>
    <row r="2047" spans="12:12" x14ac:dyDescent="0.35">
      <c r="L2047" s="10"/>
    </row>
    <row r="2048" spans="12:12" x14ac:dyDescent="0.35">
      <c r="L2048" s="10"/>
    </row>
    <row r="2049" spans="12:12" x14ac:dyDescent="0.35">
      <c r="L2049" s="10"/>
    </row>
    <row r="2050" spans="12:12" x14ac:dyDescent="0.35">
      <c r="L2050" s="10"/>
    </row>
    <row r="2051" spans="12:12" x14ac:dyDescent="0.35">
      <c r="L2051" s="10"/>
    </row>
    <row r="2052" spans="12:12" x14ac:dyDescent="0.35">
      <c r="L2052" s="10"/>
    </row>
    <row r="2053" spans="12:12" x14ac:dyDescent="0.35">
      <c r="L2053" s="10"/>
    </row>
    <row r="2054" spans="12:12" x14ac:dyDescent="0.35">
      <c r="L2054" s="10"/>
    </row>
    <row r="2055" spans="12:12" x14ac:dyDescent="0.35">
      <c r="L2055" s="10"/>
    </row>
    <row r="2056" spans="12:12" x14ac:dyDescent="0.35">
      <c r="L2056" s="10"/>
    </row>
    <row r="2057" spans="12:12" x14ac:dyDescent="0.35">
      <c r="L2057" s="10"/>
    </row>
    <row r="2058" spans="12:12" x14ac:dyDescent="0.35">
      <c r="L2058" s="10"/>
    </row>
    <row r="2059" spans="12:12" x14ac:dyDescent="0.35">
      <c r="L2059" s="10"/>
    </row>
    <row r="2060" spans="12:12" x14ac:dyDescent="0.35">
      <c r="L2060" s="10"/>
    </row>
    <row r="2061" spans="12:12" x14ac:dyDescent="0.35">
      <c r="L2061" s="10"/>
    </row>
    <row r="2062" spans="12:12" x14ac:dyDescent="0.35">
      <c r="L2062" s="10"/>
    </row>
    <row r="2063" spans="12:12" x14ac:dyDescent="0.35">
      <c r="L2063" s="10"/>
    </row>
    <row r="2064" spans="12:12" x14ac:dyDescent="0.35">
      <c r="L2064" s="10"/>
    </row>
    <row r="2065" spans="12:12" x14ac:dyDescent="0.35">
      <c r="L2065" s="10"/>
    </row>
    <row r="2066" spans="12:12" x14ac:dyDescent="0.35">
      <c r="L2066" s="10"/>
    </row>
    <row r="2067" spans="12:12" x14ac:dyDescent="0.35">
      <c r="L2067" s="10"/>
    </row>
    <row r="2068" spans="12:12" x14ac:dyDescent="0.35">
      <c r="L2068" s="10"/>
    </row>
    <row r="2069" spans="12:12" x14ac:dyDescent="0.35">
      <c r="L2069" s="10"/>
    </row>
    <row r="2070" spans="12:12" x14ac:dyDescent="0.35">
      <c r="L2070" s="10"/>
    </row>
    <row r="2071" spans="12:12" x14ac:dyDescent="0.35">
      <c r="L2071" s="10"/>
    </row>
    <row r="2072" spans="12:12" x14ac:dyDescent="0.35">
      <c r="L2072" s="10"/>
    </row>
    <row r="2073" spans="12:12" x14ac:dyDescent="0.35">
      <c r="L2073" s="10"/>
    </row>
    <row r="2074" spans="12:12" x14ac:dyDescent="0.35">
      <c r="L2074" s="10"/>
    </row>
    <row r="2075" spans="12:12" x14ac:dyDescent="0.35">
      <c r="L2075" s="10"/>
    </row>
    <row r="2076" spans="12:12" x14ac:dyDescent="0.35">
      <c r="L2076" s="10"/>
    </row>
    <row r="2077" spans="12:12" x14ac:dyDescent="0.35">
      <c r="L2077" s="10"/>
    </row>
    <row r="2078" spans="12:12" x14ac:dyDescent="0.35">
      <c r="L2078" s="10"/>
    </row>
    <row r="2079" spans="12:12" x14ac:dyDescent="0.35">
      <c r="L2079" s="10"/>
    </row>
    <row r="2080" spans="12:12" x14ac:dyDescent="0.35">
      <c r="L2080" s="10"/>
    </row>
    <row r="2081" spans="12:12" x14ac:dyDescent="0.35">
      <c r="L2081" s="10"/>
    </row>
    <row r="2082" spans="12:12" x14ac:dyDescent="0.35">
      <c r="L2082" s="10"/>
    </row>
    <row r="2083" spans="12:12" x14ac:dyDescent="0.35">
      <c r="L2083" s="10"/>
    </row>
    <row r="2084" spans="12:12" x14ac:dyDescent="0.35">
      <c r="L2084" s="10"/>
    </row>
    <row r="2085" spans="12:12" x14ac:dyDescent="0.35">
      <c r="L2085" s="10"/>
    </row>
    <row r="2086" spans="12:12" x14ac:dyDescent="0.35">
      <c r="L2086" s="10"/>
    </row>
    <row r="2087" spans="12:12" x14ac:dyDescent="0.35">
      <c r="L2087" s="10"/>
    </row>
    <row r="2088" spans="12:12" x14ac:dyDescent="0.35">
      <c r="L2088" s="10"/>
    </row>
    <row r="2089" spans="12:12" x14ac:dyDescent="0.35">
      <c r="L2089" s="10"/>
    </row>
    <row r="2090" spans="12:12" x14ac:dyDescent="0.35">
      <c r="L2090" s="10"/>
    </row>
    <row r="2091" spans="12:12" x14ac:dyDescent="0.35">
      <c r="L2091" s="10"/>
    </row>
    <row r="2092" spans="12:12" x14ac:dyDescent="0.35">
      <c r="L2092" s="10"/>
    </row>
    <row r="2093" spans="12:12" x14ac:dyDescent="0.35">
      <c r="L2093" s="10"/>
    </row>
    <row r="2094" spans="12:12" x14ac:dyDescent="0.35">
      <c r="L2094" s="10"/>
    </row>
    <row r="2095" spans="12:12" x14ac:dyDescent="0.35">
      <c r="L2095" s="10"/>
    </row>
    <row r="2096" spans="12:12" x14ac:dyDescent="0.35">
      <c r="L2096" s="10"/>
    </row>
    <row r="2097" spans="12:12" x14ac:dyDescent="0.35">
      <c r="L2097" s="10"/>
    </row>
    <row r="2098" spans="12:12" x14ac:dyDescent="0.35">
      <c r="L2098" s="10"/>
    </row>
    <row r="2099" spans="12:12" x14ac:dyDescent="0.35">
      <c r="L2099" s="10"/>
    </row>
    <row r="2100" spans="12:12" x14ac:dyDescent="0.35">
      <c r="L2100" s="10"/>
    </row>
    <row r="2101" spans="12:12" x14ac:dyDescent="0.35">
      <c r="L2101" s="10"/>
    </row>
    <row r="2102" spans="12:12" x14ac:dyDescent="0.35">
      <c r="L2102" s="10"/>
    </row>
    <row r="2103" spans="12:12" x14ac:dyDescent="0.35">
      <c r="L2103" s="10"/>
    </row>
    <row r="2104" spans="12:12" x14ac:dyDescent="0.35">
      <c r="L2104" s="10"/>
    </row>
    <row r="2105" spans="12:12" x14ac:dyDescent="0.35">
      <c r="L2105" s="10"/>
    </row>
    <row r="2106" spans="12:12" x14ac:dyDescent="0.35">
      <c r="L2106" s="10"/>
    </row>
    <row r="2107" spans="12:12" x14ac:dyDescent="0.35">
      <c r="L2107" s="10"/>
    </row>
    <row r="2108" spans="12:12" x14ac:dyDescent="0.35">
      <c r="L2108" s="10"/>
    </row>
    <row r="2109" spans="12:12" x14ac:dyDescent="0.35">
      <c r="L2109" s="10"/>
    </row>
    <row r="2110" spans="12:12" x14ac:dyDescent="0.35">
      <c r="L2110" s="10"/>
    </row>
    <row r="2111" spans="12:12" x14ac:dyDescent="0.35">
      <c r="L2111" s="10"/>
    </row>
    <row r="2112" spans="12:12" x14ac:dyDescent="0.35">
      <c r="L2112" s="10"/>
    </row>
    <row r="2113" spans="12:12" x14ac:dyDescent="0.35">
      <c r="L2113" s="10"/>
    </row>
    <row r="2114" spans="12:12" x14ac:dyDescent="0.35">
      <c r="L2114" s="10"/>
    </row>
    <row r="2115" spans="12:12" x14ac:dyDescent="0.35">
      <c r="L2115" s="10"/>
    </row>
    <row r="2116" spans="12:12" x14ac:dyDescent="0.35">
      <c r="L2116" s="10"/>
    </row>
    <row r="2117" spans="12:12" x14ac:dyDescent="0.35">
      <c r="L2117" s="10"/>
    </row>
    <row r="2118" spans="12:12" x14ac:dyDescent="0.35">
      <c r="L2118" s="10"/>
    </row>
    <row r="2119" spans="12:12" x14ac:dyDescent="0.35">
      <c r="L2119" s="10"/>
    </row>
    <row r="2120" spans="12:12" x14ac:dyDescent="0.35">
      <c r="L2120" s="10"/>
    </row>
    <row r="2121" spans="12:12" x14ac:dyDescent="0.35">
      <c r="L2121" s="10"/>
    </row>
    <row r="2122" spans="12:12" x14ac:dyDescent="0.35">
      <c r="L2122" s="10"/>
    </row>
    <row r="2123" spans="12:12" x14ac:dyDescent="0.35">
      <c r="L2123" s="10"/>
    </row>
    <row r="2124" spans="12:12" x14ac:dyDescent="0.35">
      <c r="L2124" s="10"/>
    </row>
    <row r="2125" spans="12:12" x14ac:dyDescent="0.35">
      <c r="L2125" s="10"/>
    </row>
    <row r="2126" spans="12:12" x14ac:dyDescent="0.35">
      <c r="L2126" s="10"/>
    </row>
    <row r="2127" spans="12:12" x14ac:dyDescent="0.35">
      <c r="L2127" s="10"/>
    </row>
    <row r="2128" spans="12:12" x14ac:dyDescent="0.35">
      <c r="L2128" s="10"/>
    </row>
    <row r="2129" spans="12:12" x14ac:dyDescent="0.35">
      <c r="L2129" s="10"/>
    </row>
    <row r="2130" spans="12:12" x14ac:dyDescent="0.35">
      <c r="L2130" s="10"/>
    </row>
    <row r="2131" spans="12:12" x14ac:dyDescent="0.35">
      <c r="L2131" s="10"/>
    </row>
    <row r="2132" spans="12:12" x14ac:dyDescent="0.35">
      <c r="L2132" s="10"/>
    </row>
    <row r="2133" spans="12:12" x14ac:dyDescent="0.35">
      <c r="L2133" s="10"/>
    </row>
    <row r="2134" spans="12:12" x14ac:dyDescent="0.35">
      <c r="L2134" s="10"/>
    </row>
    <row r="2135" spans="12:12" x14ac:dyDescent="0.35">
      <c r="L2135" s="10"/>
    </row>
    <row r="2136" spans="12:12" x14ac:dyDescent="0.35">
      <c r="L2136" s="10"/>
    </row>
    <row r="2137" spans="12:12" x14ac:dyDescent="0.35">
      <c r="L2137" s="10"/>
    </row>
    <row r="2138" spans="12:12" x14ac:dyDescent="0.35">
      <c r="L2138" s="10"/>
    </row>
    <row r="2139" spans="12:12" x14ac:dyDescent="0.35">
      <c r="L2139" s="10"/>
    </row>
    <row r="2140" spans="12:12" x14ac:dyDescent="0.35">
      <c r="L2140" s="10"/>
    </row>
    <row r="2141" spans="12:12" x14ac:dyDescent="0.35">
      <c r="L2141" s="10"/>
    </row>
    <row r="2142" spans="12:12" x14ac:dyDescent="0.35">
      <c r="L2142" s="10"/>
    </row>
    <row r="2143" spans="12:12" x14ac:dyDescent="0.35">
      <c r="L2143" s="10"/>
    </row>
    <row r="2144" spans="12:12" x14ac:dyDescent="0.35">
      <c r="L2144" s="10"/>
    </row>
    <row r="2145" spans="12:12" x14ac:dyDescent="0.35">
      <c r="L2145" s="10"/>
    </row>
    <row r="2146" spans="12:12" x14ac:dyDescent="0.35">
      <c r="L2146" s="10"/>
    </row>
    <row r="2147" spans="12:12" x14ac:dyDescent="0.35">
      <c r="L2147" s="10"/>
    </row>
    <row r="2148" spans="12:12" x14ac:dyDescent="0.35">
      <c r="L2148" s="10"/>
    </row>
    <row r="2149" spans="12:12" x14ac:dyDescent="0.35">
      <c r="L2149" s="10"/>
    </row>
    <row r="2150" spans="12:12" x14ac:dyDescent="0.35">
      <c r="L2150" s="10"/>
    </row>
    <row r="2151" spans="12:12" x14ac:dyDescent="0.35">
      <c r="L2151" s="10"/>
    </row>
    <row r="2152" spans="12:12" x14ac:dyDescent="0.35">
      <c r="L2152" s="10"/>
    </row>
    <row r="2153" spans="12:12" x14ac:dyDescent="0.35">
      <c r="L2153" s="10"/>
    </row>
    <row r="2154" spans="12:12" x14ac:dyDescent="0.35">
      <c r="L2154" s="10"/>
    </row>
    <row r="2155" spans="12:12" x14ac:dyDescent="0.35">
      <c r="L2155" s="10"/>
    </row>
    <row r="2156" spans="12:12" x14ac:dyDescent="0.35">
      <c r="L2156" s="10"/>
    </row>
    <row r="2157" spans="12:12" x14ac:dyDescent="0.35">
      <c r="L2157" s="10"/>
    </row>
    <row r="2158" spans="12:12" x14ac:dyDescent="0.35">
      <c r="L2158" s="10"/>
    </row>
    <row r="2159" spans="12:12" x14ac:dyDescent="0.35">
      <c r="L2159" s="10"/>
    </row>
    <row r="2160" spans="12:12" x14ac:dyDescent="0.35">
      <c r="L2160" s="10"/>
    </row>
    <row r="2161" spans="12:12" x14ac:dyDescent="0.35">
      <c r="L2161" s="10"/>
    </row>
    <row r="2162" spans="12:12" x14ac:dyDescent="0.35">
      <c r="L2162" s="10"/>
    </row>
    <row r="2163" spans="12:12" x14ac:dyDescent="0.35">
      <c r="L2163" s="10"/>
    </row>
    <row r="2164" spans="12:12" x14ac:dyDescent="0.35">
      <c r="L2164" s="10"/>
    </row>
    <row r="2165" spans="12:12" x14ac:dyDescent="0.35">
      <c r="L2165" s="10"/>
    </row>
    <row r="2166" spans="12:12" x14ac:dyDescent="0.35">
      <c r="L2166" s="10"/>
    </row>
    <row r="2167" spans="12:12" x14ac:dyDescent="0.35">
      <c r="L2167" s="10"/>
    </row>
    <row r="2168" spans="12:12" x14ac:dyDescent="0.35">
      <c r="L2168" s="10"/>
    </row>
    <row r="2169" spans="12:12" x14ac:dyDescent="0.35">
      <c r="L2169" s="10"/>
    </row>
    <row r="2170" spans="12:12" x14ac:dyDescent="0.35">
      <c r="L2170" s="10"/>
    </row>
    <row r="2171" spans="12:12" x14ac:dyDescent="0.35">
      <c r="L2171" s="10"/>
    </row>
    <row r="2172" spans="12:12" x14ac:dyDescent="0.35">
      <c r="L2172" s="10"/>
    </row>
    <row r="2173" spans="12:12" x14ac:dyDescent="0.35">
      <c r="L2173" s="10"/>
    </row>
    <row r="2174" spans="12:12" x14ac:dyDescent="0.35">
      <c r="L2174" s="10"/>
    </row>
    <row r="2175" spans="12:12" x14ac:dyDescent="0.35">
      <c r="L2175" s="10"/>
    </row>
    <row r="2176" spans="12:12" x14ac:dyDescent="0.35">
      <c r="L2176" s="10"/>
    </row>
    <row r="2177" spans="12:12" x14ac:dyDescent="0.35">
      <c r="L2177" s="10"/>
    </row>
    <row r="2178" spans="12:12" x14ac:dyDescent="0.35">
      <c r="L2178" s="10"/>
    </row>
    <row r="2179" spans="12:12" x14ac:dyDescent="0.35">
      <c r="L2179" s="10"/>
    </row>
    <row r="2180" spans="12:12" x14ac:dyDescent="0.35">
      <c r="L2180" s="10"/>
    </row>
    <row r="2181" spans="12:12" x14ac:dyDescent="0.35">
      <c r="L2181" s="10"/>
    </row>
    <row r="2182" spans="12:12" x14ac:dyDescent="0.35">
      <c r="L2182" s="10"/>
    </row>
    <row r="2183" spans="12:12" x14ac:dyDescent="0.35">
      <c r="L2183" s="10"/>
    </row>
    <row r="2184" spans="12:12" x14ac:dyDescent="0.35">
      <c r="L2184" s="10"/>
    </row>
    <row r="2185" spans="12:12" x14ac:dyDescent="0.35">
      <c r="L2185" s="10"/>
    </row>
    <row r="2186" spans="12:12" x14ac:dyDescent="0.35">
      <c r="L2186" s="10"/>
    </row>
    <row r="2187" spans="12:12" x14ac:dyDescent="0.35">
      <c r="L2187" s="10"/>
    </row>
    <row r="2188" spans="12:12" x14ac:dyDescent="0.35">
      <c r="L2188" s="10"/>
    </row>
    <row r="2189" spans="12:12" x14ac:dyDescent="0.35">
      <c r="L2189" s="10"/>
    </row>
    <row r="2190" spans="12:12" x14ac:dyDescent="0.35">
      <c r="L2190" s="10"/>
    </row>
    <row r="2191" spans="12:12" x14ac:dyDescent="0.35">
      <c r="L2191" s="10"/>
    </row>
    <row r="2192" spans="12:12" x14ac:dyDescent="0.35">
      <c r="L2192" s="10"/>
    </row>
    <row r="2193" spans="12:12" x14ac:dyDescent="0.35">
      <c r="L2193" s="10"/>
    </row>
    <row r="2194" spans="12:12" x14ac:dyDescent="0.35">
      <c r="L2194" s="10"/>
    </row>
    <row r="2195" spans="12:12" x14ac:dyDescent="0.35">
      <c r="L2195" s="10"/>
    </row>
    <row r="2196" spans="12:12" x14ac:dyDescent="0.35">
      <c r="L2196" s="10"/>
    </row>
    <row r="2197" spans="12:12" x14ac:dyDescent="0.35">
      <c r="L2197" s="10"/>
    </row>
    <row r="2198" spans="12:12" x14ac:dyDescent="0.35">
      <c r="L2198" s="10"/>
    </row>
    <row r="2199" spans="12:12" x14ac:dyDescent="0.35">
      <c r="L2199" s="10"/>
    </row>
    <row r="2200" spans="12:12" x14ac:dyDescent="0.35">
      <c r="L2200" s="10"/>
    </row>
    <row r="2201" spans="12:12" x14ac:dyDescent="0.35">
      <c r="L2201" s="10"/>
    </row>
    <row r="2202" spans="12:12" x14ac:dyDescent="0.35">
      <c r="L2202" s="10"/>
    </row>
    <row r="2203" spans="12:12" x14ac:dyDescent="0.35">
      <c r="L2203" s="10"/>
    </row>
    <row r="2204" spans="12:12" x14ac:dyDescent="0.35">
      <c r="L2204" s="10"/>
    </row>
    <row r="2205" spans="12:12" x14ac:dyDescent="0.35">
      <c r="L2205" s="10"/>
    </row>
    <row r="2206" spans="12:12" x14ac:dyDescent="0.35">
      <c r="L2206" s="10"/>
    </row>
    <row r="2207" spans="12:12" x14ac:dyDescent="0.35">
      <c r="L2207" s="10"/>
    </row>
    <row r="2208" spans="12:12" x14ac:dyDescent="0.35">
      <c r="L2208" s="10"/>
    </row>
    <row r="2209" spans="12:12" x14ac:dyDescent="0.35">
      <c r="L2209" s="10"/>
    </row>
    <row r="2210" spans="12:12" x14ac:dyDescent="0.35">
      <c r="L2210" s="10"/>
    </row>
    <row r="2211" spans="12:12" x14ac:dyDescent="0.35">
      <c r="L2211" s="10"/>
    </row>
    <row r="2212" spans="12:12" x14ac:dyDescent="0.35">
      <c r="L2212" s="10"/>
    </row>
    <row r="2213" spans="12:12" x14ac:dyDescent="0.35">
      <c r="L2213" s="10"/>
    </row>
    <row r="2214" spans="12:12" x14ac:dyDescent="0.35">
      <c r="L2214" s="10"/>
    </row>
    <row r="2215" spans="12:12" x14ac:dyDescent="0.35">
      <c r="L2215" s="10"/>
    </row>
    <row r="2216" spans="12:12" x14ac:dyDescent="0.35">
      <c r="L2216" s="10"/>
    </row>
    <row r="2217" spans="12:12" x14ac:dyDescent="0.35">
      <c r="L2217" s="10"/>
    </row>
    <row r="2218" spans="12:12" x14ac:dyDescent="0.35">
      <c r="L2218" s="10"/>
    </row>
    <row r="2219" spans="12:12" x14ac:dyDescent="0.35">
      <c r="L2219" s="10"/>
    </row>
    <row r="2220" spans="12:12" x14ac:dyDescent="0.35">
      <c r="L2220" s="10"/>
    </row>
    <row r="2221" spans="12:12" x14ac:dyDescent="0.35">
      <c r="L2221" s="10"/>
    </row>
    <row r="2222" spans="12:12" x14ac:dyDescent="0.35">
      <c r="L2222" s="10"/>
    </row>
    <row r="2223" spans="12:12" x14ac:dyDescent="0.35">
      <c r="L2223" s="10"/>
    </row>
    <row r="2224" spans="12:12" x14ac:dyDescent="0.35">
      <c r="L2224" s="10"/>
    </row>
    <row r="2225" spans="12:12" x14ac:dyDescent="0.35">
      <c r="L2225" s="10"/>
    </row>
    <row r="2226" spans="12:12" x14ac:dyDescent="0.35">
      <c r="L2226" s="10"/>
    </row>
    <row r="2227" spans="12:12" x14ac:dyDescent="0.35">
      <c r="L2227" s="10"/>
    </row>
    <row r="2228" spans="12:12" x14ac:dyDescent="0.35">
      <c r="L2228" s="10"/>
    </row>
    <row r="2229" spans="12:12" x14ac:dyDescent="0.35">
      <c r="L2229" s="10"/>
    </row>
    <row r="2230" spans="12:12" x14ac:dyDescent="0.35">
      <c r="L2230" s="10"/>
    </row>
    <row r="2231" spans="12:12" x14ac:dyDescent="0.35">
      <c r="L2231" s="10"/>
    </row>
    <row r="2232" spans="12:12" x14ac:dyDescent="0.35">
      <c r="L2232" s="10"/>
    </row>
    <row r="2233" spans="12:12" x14ac:dyDescent="0.35">
      <c r="L2233" s="10"/>
    </row>
    <row r="2234" spans="12:12" x14ac:dyDescent="0.35">
      <c r="L2234" s="10"/>
    </row>
    <row r="2235" spans="12:12" x14ac:dyDescent="0.35">
      <c r="L2235" s="10"/>
    </row>
    <row r="2236" spans="12:12" x14ac:dyDescent="0.35">
      <c r="L2236" s="10"/>
    </row>
    <row r="2237" spans="12:12" x14ac:dyDescent="0.35">
      <c r="L2237" s="10"/>
    </row>
    <row r="2238" spans="12:12" x14ac:dyDescent="0.35">
      <c r="L2238" s="10"/>
    </row>
    <row r="2239" spans="12:12" x14ac:dyDescent="0.35">
      <c r="L2239" s="10"/>
    </row>
    <row r="2240" spans="12:12" x14ac:dyDescent="0.35">
      <c r="L2240" s="10"/>
    </row>
    <row r="2241" spans="12:12" x14ac:dyDescent="0.35">
      <c r="L2241" s="10"/>
    </row>
    <row r="2242" spans="12:12" x14ac:dyDescent="0.35">
      <c r="L2242" s="10"/>
    </row>
    <row r="2243" spans="12:12" x14ac:dyDescent="0.35">
      <c r="L2243" s="10"/>
    </row>
    <row r="2244" spans="12:12" x14ac:dyDescent="0.35">
      <c r="L2244" s="10"/>
    </row>
    <row r="2245" spans="12:12" x14ac:dyDescent="0.35">
      <c r="L2245" s="10"/>
    </row>
    <row r="2246" spans="12:12" x14ac:dyDescent="0.35">
      <c r="L2246" s="10"/>
    </row>
    <row r="2247" spans="12:12" x14ac:dyDescent="0.35">
      <c r="L2247" s="10"/>
    </row>
    <row r="2248" spans="12:12" x14ac:dyDescent="0.35">
      <c r="L2248" s="10"/>
    </row>
    <row r="2249" spans="12:12" x14ac:dyDescent="0.35">
      <c r="L2249" s="10"/>
    </row>
    <row r="2250" spans="12:12" x14ac:dyDescent="0.35">
      <c r="L2250" s="10"/>
    </row>
    <row r="2251" spans="12:12" x14ac:dyDescent="0.35">
      <c r="L2251" s="10"/>
    </row>
    <row r="2252" spans="12:12" x14ac:dyDescent="0.35">
      <c r="L2252" s="10"/>
    </row>
    <row r="2253" spans="12:12" x14ac:dyDescent="0.35">
      <c r="L2253" s="10"/>
    </row>
    <row r="2254" spans="12:12" x14ac:dyDescent="0.35">
      <c r="L2254" s="10"/>
    </row>
    <row r="2255" spans="12:12" x14ac:dyDescent="0.35">
      <c r="L2255" s="10"/>
    </row>
    <row r="2256" spans="12:12" x14ac:dyDescent="0.35">
      <c r="L2256" s="10"/>
    </row>
    <row r="2257" spans="12:12" x14ac:dyDescent="0.35">
      <c r="L2257" s="10"/>
    </row>
    <row r="2258" spans="12:12" x14ac:dyDescent="0.35">
      <c r="L2258" s="10"/>
    </row>
    <row r="2259" spans="12:12" x14ac:dyDescent="0.35">
      <c r="L2259" s="10"/>
    </row>
    <row r="2260" spans="12:12" x14ac:dyDescent="0.35">
      <c r="L2260" s="10"/>
    </row>
    <row r="2261" spans="12:12" x14ac:dyDescent="0.35">
      <c r="L2261" s="10"/>
    </row>
    <row r="2262" spans="12:12" x14ac:dyDescent="0.35">
      <c r="L2262" s="10"/>
    </row>
    <row r="2263" spans="12:12" x14ac:dyDescent="0.35">
      <c r="L2263" s="10"/>
    </row>
    <row r="2264" spans="12:12" x14ac:dyDescent="0.35">
      <c r="L2264" s="10"/>
    </row>
    <row r="2265" spans="12:12" x14ac:dyDescent="0.35">
      <c r="L2265" s="10"/>
    </row>
    <row r="2266" spans="12:12" x14ac:dyDescent="0.35">
      <c r="L2266" s="10"/>
    </row>
    <row r="2267" spans="12:12" x14ac:dyDescent="0.35">
      <c r="L2267" s="10"/>
    </row>
    <row r="2268" spans="12:12" x14ac:dyDescent="0.35">
      <c r="L2268" s="10"/>
    </row>
    <row r="2269" spans="12:12" x14ac:dyDescent="0.35">
      <c r="L2269" s="10"/>
    </row>
    <row r="2270" spans="12:12" x14ac:dyDescent="0.35">
      <c r="L2270" s="10"/>
    </row>
    <row r="2271" spans="12:12" x14ac:dyDescent="0.35">
      <c r="L2271" s="10"/>
    </row>
    <row r="2272" spans="12:12" x14ac:dyDescent="0.35">
      <c r="L2272" s="10"/>
    </row>
    <row r="2273" spans="12:12" x14ac:dyDescent="0.35">
      <c r="L2273" s="10"/>
    </row>
    <row r="2274" spans="12:12" x14ac:dyDescent="0.35">
      <c r="L2274" s="10"/>
    </row>
    <row r="2275" spans="12:12" x14ac:dyDescent="0.35">
      <c r="L2275" s="10"/>
    </row>
    <row r="2276" spans="12:12" x14ac:dyDescent="0.35">
      <c r="L2276" s="10"/>
    </row>
    <row r="2277" spans="12:12" x14ac:dyDescent="0.35">
      <c r="L2277" s="10"/>
    </row>
    <row r="2278" spans="12:12" x14ac:dyDescent="0.35">
      <c r="L2278" s="10"/>
    </row>
    <row r="2279" spans="12:12" x14ac:dyDescent="0.35">
      <c r="L2279" s="10"/>
    </row>
    <row r="2280" spans="12:12" x14ac:dyDescent="0.35">
      <c r="L2280" s="10"/>
    </row>
    <row r="2281" spans="12:12" x14ac:dyDescent="0.35">
      <c r="L2281" s="10"/>
    </row>
    <row r="2282" spans="12:12" x14ac:dyDescent="0.35">
      <c r="L2282" s="10"/>
    </row>
    <row r="2283" spans="12:12" x14ac:dyDescent="0.35">
      <c r="L2283" s="10"/>
    </row>
    <row r="2284" spans="12:12" x14ac:dyDescent="0.35">
      <c r="L2284" s="10"/>
    </row>
    <row r="2285" spans="12:12" x14ac:dyDescent="0.35">
      <c r="L2285" s="10"/>
    </row>
    <row r="2286" spans="12:12" x14ac:dyDescent="0.35">
      <c r="L2286" s="10"/>
    </row>
    <row r="2287" spans="12:12" x14ac:dyDescent="0.35">
      <c r="L2287" s="10"/>
    </row>
    <row r="2288" spans="12:12" x14ac:dyDescent="0.35">
      <c r="L2288" s="10"/>
    </row>
    <row r="2289" spans="12:12" x14ac:dyDescent="0.35">
      <c r="L2289" s="10"/>
    </row>
    <row r="2290" spans="12:12" x14ac:dyDescent="0.35">
      <c r="L2290" s="10"/>
    </row>
    <row r="2291" spans="12:12" x14ac:dyDescent="0.35">
      <c r="L2291" s="10"/>
    </row>
    <row r="2292" spans="12:12" x14ac:dyDescent="0.35">
      <c r="L2292" s="10"/>
    </row>
    <row r="2293" spans="12:12" x14ac:dyDescent="0.35">
      <c r="L2293" s="10"/>
    </row>
    <row r="2294" spans="12:12" x14ac:dyDescent="0.35">
      <c r="L2294" s="10"/>
    </row>
    <row r="2295" spans="12:12" x14ac:dyDescent="0.35">
      <c r="L2295" s="10"/>
    </row>
    <row r="2296" spans="12:12" x14ac:dyDescent="0.35">
      <c r="L2296" s="10"/>
    </row>
    <row r="2297" spans="12:12" x14ac:dyDescent="0.35">
      <c r="L2297" s="10"/>
    </row>
    <row r="2298" spans="12:12" x14ac:dyDescent="0.35">
      <c r="L2298" s="10"/>
    </row>
    <row r="2299" spans="12:12" x14ac:dyDescent="0.35">
      <c r="L2299" s="10"/>
    </row>
    <row r="2300" spans="12:12" x14ac:dyDescent="0.35">
      <c r="L2300" s="10"/>
    </row>
    <row r="2301" spans="12:12" x14ac:dyDescent="0.35">
      <c r="L2301" s="10"/>
    </row>
    <row r="2302" spans="12:12" x14ac:dyDescent="0.35">
      <c r="L2302" s="10"/>
    </row>
    <row r="2303" spans="12:12" x14ac:dyDescent="0.35">
      <c r="L2303" s="10"/>
    </row>
    <row r="2304" spans="12:12" x14ac:dyDescent="0.35">
      <c r="L2304" s="10"/>
    </row>
    <row r="2305" spans="12:12" x14ac:dyDescent="0.35">
      <c r="L2305" s="10"/>
    </row>
    <row r="2306" spans="12:12" x14ac:dyDescent="0.35">
      <c r="L2306" s="10"/>
    </row>
    <row r="2307" spans="12:12" x14ac:dyDescent="0.35">
      <c r="L2307" s="10"/>
    </row>
    <row r="2308" spans="12:12" x14ac:dyDescent="0.35">
      <c r="L2308" s="10"/>
    </row>
    <row r="2309" spans="12:12" x14ac:dyDescent="0.35">
      <c r="L2309" s="10"/>
    </row>
    <row r="2310" spans="12:12" x14ac:dyDescent="0.35">
      <c r="L2310" s="10"/>
    </row>
    <row r="2311" spans="12:12" x14ac:dyDescent="0.35">
      <c r="L2311" s="10"/>
    </row>
    <row r="2312" spans="12:12" x14ac:dyDescent="0.35">
      <c r="L2312" s="10"/>
    </row>
    <row r="2313" spans="12:12" x14ac:dyDescent="0.35">
      <c r="L2313" s="10"/>
    </row>
    <row r="2314" spans="12:12" x14ac:dyDescent="0.35">
      <c r="L2314" s="10"/>
    </row>
    <row r="2315" spans="12:12" x14ac:dyDescent="0.35">
      <c r="L2315" s="10"/>
    </row>
    <row r="2316" spans="12:12" x14ac:dyDescent="0.35">
      <c r="L2316" s="10"/>
    </row>
    <row r="2317" spans="12:12" x14ac:dyDescent="0.35">
      <c r="L2317" s="10"/>
    </row>
    <row r="2318" spans="12:12" x14ac:dyDescent="0.35">
      <c r="L2318" s="10"/>
    </row>
    <row r="2319" spans="12:12" x14ac:dyDescent="0.35">
      <c r="L2319" s="10"/>
    </row>
    <row r="2320" spans="12:12" x14ac:dyDescent="0.35">
      <c r="L2320" s="10"/>
    </row>
    <row r="2321" spans="12:12" x14ac:dyDescent="0.35">
      <c r="L2321" s="10"/>
    </row>
    <row r="2322" spans="12:12" x14ac:dyDescent="0.35">
      <c r="L2322" s="10"/>
    </row>
    <row r="2323" spans="12:12" x14ac:dyDescent="0.35">
      <c r="L2323" s="10"/>
    </row>
    <row r="2324" spans="12:12" x14ac:dyDescent="0.35">
      <c r="L2324" s="10"/>
    </row>
    <row r="2325" spans="12:12" x14ac:dyDescent="0.35">
      <c r="L2325" s="10"/>
    </row>
    <row r="2326" spans="12:12" x14ac:dyDescent="0.35">
      <c r="L2326" s="10"/>
    </row>
    <row r="2327" spans="12:12" x14ac:dyDescent="0.35">
      <c r="L2327" s="10"/>
    </row>
    <row r="2328" spans="12:12" x14ac:dyDescent="0.35">
      <c r="L2328" s="10"/>
    </row>
    <row r="2329" spans="12:12" x14ac:dyDescent="0.35">
      <c r="L2329" s="10"/>
    </row>
    <row r="2330" spans="12:12" x14ac:dyDescent="0.35">
      <c r="L2330" s="10"/>
    </row>
    <row r="2331" spans="12:12" x14ac:dyDescent="0.35">
      <c r="L2331" s="10"/>
    </row>
    <row r="2332" spans="12:12" x14ac:dyDescent="0.35">
      <c r="L2332" s="10"/>
    </row>
    <row r="2333" spans="12:12" x14ac:dyDescent="0.35">
      <c r="L2333" s="10"/>
    </row>
    <row r="2334" spans="12:12" x14ac:dyDescent="0.35">
      <c r="L2334" s="10"/>
    </row>
    <row r="2335" spans="12:12" x14ac:dyDescent="0.35">
      <c r="L2335" s="10"/>
    </row>
    <row r="2336" spans="12:12" x14ac:dyDescent="0.35">
      <c r="L2336" s="10"/>
    </row>
    <row r="2337" spans="12:12" x14ac:dyDescent="0.35">
      <c r="L2337" s="10"/>
    </row>
    <row r="2338" spans="12:12" x14ac:dyDescent="0.35">
      <c r="L2338" s="10"/>
    </row>
    <row r="2339" spans="12:12" x14ac:dyDescent="0.35">
      <c r="L2339" s="10"/>
    </row>
    <row r="2340" spans="12:12" x14ac:dyDescent="0.35">
      <c r="L2340" s="10"/>
    </row>
    <row r="2341" spans="12:12" x14ac:dyDescent="0.35">
      <c r="L2341" s="10"/>
    </row>
    <row r="2342" spans="12:12" x14ac:dyDescent="0.35">
      <c r="L2342" s="10"/>
    </row>
    <row r="2343" spans="12:12" x14ac:dyDescent="0.35">
      <c r="L2343" s="10"/>
    </row>
    <row r="2344" spans="12:12" x14ac:dyDescent="0.35">
      <c r="L2344" s="10"/>
    </row>
    <row r="2345" spans="12:12" x14ac:dyDescent="0.35">
      <c r="L2345" s="10"/>
    </row>
    <row r="2346" spans="12:12" x14ac:dyDescent="0.35">
      <c r="L2346" s="10"/>
    </row>
    <row r="2347" spans="12:12" x14ac:dyDescent="0.35">
      <c r="L2347" s="10"/>
    </row>
    <row r="2348" spans="12:12" x14ac:dyDescent="0.35">
      <c r="L2348" s="10"/>
    </row>
    <row r="2349" spans="12:12" x14ac:dyDescent="0.35">
      <c r="L2349" s="10"/>
    </row>
    <row r="2350" spans="12:12" x14ac:dyDescent="0.35">
      <c r="L2350" s="10"/>
    </row>
    <row r="2351" spans="12:12" x14ac:dyDescent="0.35">
      <c r="L2351" s="10"/>
    </row>
    <row r="2352" spans="12:12" x14ac:dyDescent="0.35">
      <c r="L2352" s="10"/>
    </row>
    <row r="2353" spans="12:12" x14ac:dyDescent="0.35">
      <c r="L2353" s="10"/>
    </row>
    <row r="2354" spans="12:12" x14ac:dyDescent="0.35">
      <c r="L2354" s="10"/>
    </row>
    <row r="2355" spans="12:12" x14ac:dyDescent="0.35">
      <c r="L2355" s="10"/>
    </row>
    <row r="2356" spans="12:12" x14ac:dyDescent="0.35">
      <c r="L2356" s="10"/>
    </row>
    <row r="2357" spans="12:12" x14ac:dyDescent="0.35">
      <c r="L2357" s="10"/>
    </row>
    <row r="2358" spans="12:12" x14ac:dyDescent="0.35">
      <c r="L2358" s="10"/>
    </row>
    <row r="2359" spans="12:12" x14ac:dyDescent="0.35">
      <c r="L2359" s="10"/>
    </row>
    <row r="2360" spans="12:12" x14ac:dyDescent="0.35">
      <c r="L2360" s="10"/>
    </row>
    <row r="2361" spans="12:12" x14ac:dyDescent="0.35">
      <c r="L2361" s="10"/>
    </row>
    <row r="2362" spans="12:12" x14ac:dyDescent="0.35">
      <c r="L2362" s="10"/>
    </row>
    <row r="2363" spans="12:12" x14ac:dyDescent="0.35">
      <c r="L2363" s="10"/>
    </row>
    <row r="2364" spans="12:12" x14ac:dyDescent="0.35">
      <c r="L2364" s="10"/>
    </row>
    <row r="2365" spans="12:12" x14ac:dyDescent="0.35">
      <c r="L2365" s="10"/>
    </row>
    <row r="2366" spans="12:12" x14ac:dyDescent="0.35">
      <c r="L2366" s="10"/>
    </row>
    <row r="2367" spans="12:12" x14ac:dyDescent="0.35">
      <c r="L2367" s="10"/>
    </row>
    <row r="2368" spans="12:12" x14ac:dyDescent="0.35">
      <c r="L2368" s="10"/>
    </row>
    <row r="2369" spans="12:12" x14ac:dyDescent="0.35">
      <c r="L2369" s="10"/>
    </row>
    <row r="2370" spans="12:12" x14ac:dyDescent="0.35">
      <c r="L2370" s="10"/>
    </row>
    <row r="2371" spans="12:12" x14ac:dyDescent="0.35">
      <c r="L2371" s="10"/>
    </row>
    <row r="2372" spans="12:12" x14ac:dyDescent="0.35">
      <c r="L2372" s="10"/>
    </row>
    <row r="2373" spans="12:12" x14ac:dyDescent="0.35">
      <c r="L2373" s="10"/>
    </row>
    <row r="2374" spans="12:12" x14ac:dyDescent="0.35">
      <c r="L2374" s="10"/>
    </row>
    <row r="2375" spans="12:12" x14ac:dyDescent="0.35">
      <c r="L2375" s="10"/>
    </row>
    <row r="2376" spans="12:12" x14ac:dyDescent="0.35">
      <c r="L2376" s="10"/>
    </row>
    <row r="2377" spans="12:12" x14ac:dyDescent="0.35">
      <c r="L2377" s="10"/>
    </row>
    <row r="2378" spans="12:12" x14ac:dyDescent="0.35">
      <c r="L2378" s="10"/>
    </row>
    <row r="2379" spans="12:12" x14ac:dyDescent="0.35">
      <c r="L2379" s="10"/>
    </row>
    <row r="2380" spans="12:12" x14ac:dyDescent="0.35">
      <c r="L2380" s="10"/>
    </row>
    <row r="2381" spans="12:12" x14ac:dyDescent="0.35">
      <c r="L2381" s="10"/>
    </row>
    <row r="2382" spans="12:12" x14ac:dyDescent="0.35">
      <c r="L2382" s="10"/>
    </row>
    <row r="2383" spans="12:12" x14ac:dyDescent="0.35">
      <c r="L2383" s="10"/>
    </row>
    <row r="2384" spans="12:12" x14ac:dyDescent="0.35">
      <c r="L2384" s="10"/>
    </row>
    <row r="2385" spans="12:12" x14ac:dyDescent="0.35">
      <c r="L2385" s="10"/>
    </row>
    <row r="2386" spans="12:12" x14ac:dyDescent="0.35">
      <c r="L2386" s="10"/>
    </row>
    <row r="2387" spans="12:12" x14ac:dyDescent="0.35">
      <c r="L2387" s="10"/>
    </row>
    <row r="2388" spans="12:12" x14ac:dyDescent="0.35">
      <c r="L2388" s="10"/>
    </row>
    <row r="2389" spans="12:12" x14ac:dyDescent="0.35">
      <c r="L2389" s="10"/>
    </row>
    <row r="2390" spans="12:12" x14ac:dyDescent="0.35">
      <c r="L2390" s="10"/>
    </row>
    <row r="2391" spans="12:12" x14ac:dyDescent="0.35">
      <c r="L2391" s="10"/>
    </row>
    <row r="2392" spans="12:12" x14ac:dyDescent="0.35">
      <c r="L2392" s="10"/>
    </row>
    <row r="2393" spans="12:12" x14ac:dyDescent="0.35">
      <c r="L2393" s="10"/>
    </row>
    <row r="2394" spans="12:12" x14ac:dyDescent="0.35">
      <c r="L2394" s="10"/>
    </row>
    <row r="2395" spans="12:12" x14ac:dyDescent="0.35">
      <c r="L2395" s="10"/>
    </row>
    <row r="2396" spans="12:12" x14ac:dyDescent="0.35">
      <c r="L2396" s="10"/>
    </row>
    <row r="2397" spans="12:12" x14ac:dyDescent="0.35">
      <c r="L2397" s="10"/>
    </row>
    <row r="2398" spans="12:12" x14ac:dyDescent="0.35">
      <c r="L2398" s="10"/>
    </row>
    <row r="2399" spans="12:12" x14ac:dyDescent="0.35">
      <c r="L2399" s="10"/>
    </row>
    <row r="2400" spans="12:12" x14ac:dyDescent="0.35">
      <c r="L2400" s="10"/>
    </row>
    <row r="2401" spans="12:12" x14ac:dyDescent="0.35">
      <c r="L2401" s="10"/>
    </row>
    <row r="2402" spans="12:12" x14ac:dyDescent="0.35">
      <c r="L2402" s="10"/>
    </row>
    <row r="2403" spans="12:12" x14ac:dyDescent="0.35">
      <c r="L2403" s="10"/>
    </row>
    <row r="2404" spans="12:12" x14ac:dyDescent="0.35">
      <c r="L2404" s="10"/>
    </row>
    <row r="2405" spans="12:12" x14ac:dyDescent="0.35">
      <c r="L2405" s="10"/>
    </row>
    <row r="2406" spans="12:12" x14ac:dyDescent="0.35">
      <c r="L2406" s="10"/>
    </row>
    <row r="2407" spans="12:12" x14ac:dyDescent="0.35">
      <c r="L2407" s="10"/>
    </row>
    <row r="2408" spans="12:12" x14ac:dyDescent="0.35">
      <c r="L2408" s="10"/>
    </row>
    <row r="2409" spans="12:12" x14ac:dyDescent="0.35">
      <c r="L2409" s="10"/>
    </row>
    <row r="2410" spans="12:12" x14ac:dyDescent="0.35">
      <c r="L2410" s="10"/>
    </row>
    <row r="2411" spans="12:12" x14ac:dyDescent="0.35">
      <c r="L2411" s="10"/>
    </row>
    <row r="2412" spans="12:12" x14ac:dyDescent="0.35">
      <c r="L2412" s="10"/>
    </row>
    <row r="2413" spans="12:12" x14ac:dyDescent="0.35">
      <c r="L2413" s="10"/>
    </row>
    <row r="2414" spans="12:12" x14ac:dyDescent="0.35">
      <c r="L2414" s="10"/>
    </row>
    <row r="2415" spans="12:12" x14ac:dyDescent="0.35">
      <c r="L2415" s="10"/>
    </row>
    <row r="2416" spans="12:12" x14ac:dyDescent="0.35">
      <c r="L2416" s="10"/>
    </row>
    <row r="2417" spans="12:12" x14ac:dyDescent="0.35">
      <c r="L2417" s="10"/>
    </row>
    <row r="2418" spans="12:12" x14ac:dyDescent="0.35">
      <c r="L2418" s="10"/>
    </row>
    <row r="2419" spans="12:12" x14ac:dyDescent="0.35">
      <c r="L2419" s="10"/>
    </row>
    <row r="2420" spans="12:12" x14ac:dyDescent="0.35">
      <c r="L2420" s="10"/>
    </row>
    <row r="2421" spans="12:12" x14ac:dyDescent="0.35">
      <c r="L2421" s="10"/>
    </row>
    <row r="2422" spans="12:12" x14ac:dyDescent="0.35">
      <c r="L2422" s="10"/>
    </row>
    <row r="2423" spans="12:12" x14ac:dyDescent="0.35">
      <c r="L2423" s="10"/>
    </row>
    <row r="2424" spans="12:12" x14ac:dyDescent="0.35">
      <c r="L2424" s="10"/>
    </row>
    <row r="2425" spans="12:12" x14ac:dyDescent="0.35">
      <c r="L2425" s="10"/>
    </row>
    <row r="2426" spans="12:12" x14ac:dyDescent="0.35">
      <c r="L2426" s="10"/>
    </row>
    <row r="2427" spans="12:12" x14ac:dyDescent="0.35">
      <c r="L2427" s="10"/>
    </row>
    <row r="2428" spans="12:12" x14ac:dyDescent="0.35">
      <c r="L2428" s="10"/>
    </row>
    <row r="2429" spans="12:12" x14ac:dyDescent="0.35">
      <c r="L2429" s="10"/>
    </row>
    <row r="2430" spans="12:12" x14ac:dyDescent="0.35">
      <c r="L2430" s="10"/>
    </row>
    <row r="2431" spans="12:12" x14ac:dyDescent="0.35">
      <c r="L2431" s="10"/>
    </row>
    <row r="2432" spans="12:12" x14ac:dyDescent="0.35">
      <c r="L2432" s="10"/>
    </row>
    <row r="2433" spans="12:12" x14ac:dyDescent="0.35">
      <c r="L2433" s="10"/>
    </row>
    <row r="2434" spans="12:12" x14ac:dyDescent="0.35">
      <c r="L2434" s="10"/>
    </row>
    <row r="2435" spans="12:12" x14ac:dyDescent="0.35">
      <c r="L2435" s="10"/>
    </row>
    <row r="2436" spans="12:12" x14ac:dyDescent="0.35">
      <c r="L2436" s="10"/>
    </row>
    <row r="2437" spans="12:12" x14ac:dyDescent="0.35">
      <c r="L2437" s="10"/>
    </row>
    <row r="2438" spans="12:12" x14ac:dyDescent="0.35">
      <c r="L2438" s="10"/>
    </row>
    <row r="2439" spans="12:12" x14ac:dyDescent="0.35">
      <c r="L2439" s="10"/>
    </row>
    <row r="2440" spans="12:12" x14ac:dyDescent="0.35">
      <c r="L2440" s="10"/>
    </row>
    <row r="2441" spans="12:12" x14ac:dyDescent="0.35">
      <c r="L2441" s="10"/>
    </row>
    <row r="2442" spans="12:12" x14ac:dyDescent="0.35">
      <c r="L2442" s="10"/>
    </row>
    <row r="2443" spans="12:12" x14ac:dyDescent="0.35">
      <c r="L2443" s="10"/>
    </row>
    <row r="2444" spans="12:12" x14ac:dyDescent="0.35">
      <c r="L2444" s="10"/>
    </row>
    <row r="2445" spans="12:12" x14ac:dyDescent="0.35">
      <c r="L2445" s="10"/>
    </row>
    <row r="2446" spans="12:12" x14ac:dyDescent="0.35">
      <c r="L2446" s="10"/>
    </row>
    <row r="2447" spans="12:12" x14ac:dyDescent="0.35">
      <c r="L2447" s="10"/>
    </row>
    <row r="2448" spans="12:12" x14ac:dyDescent="0.35">
      <c r="L2448" s="10"/>
    </row>
    <row r="2449" spans="12:12" x14ac:dyDescent="0.35">
      <c r="L2449" s="10"/>
    </row>
    <row r="2450" spans="12:12" x14ac:dyDescent="0.35">
      <c r="L2450" s="10"/>
    </row>
    <row r="2451" spans="12:12" x14ac:dyDescent="0.35">
      <c r="L2451" s="10"/>
    </row>
    <row r="2452" spans="12:12" x14ac:dyDescent="0.35">
      <c r="L2452" s="10"/>
    </row>
    <row r="2453" spans="12:12" x14ac:dyDescent="0.35">
      <c r="L2453" s="10"/>
    </row>
    <row r="2454" spans="12:12" x14ac:dyDescent="0.35">
      <c r="L2454" s="10"/>
    </row>
    <row r="2455" spans="12:12" x14ac:dyDescent="0.35">
      <c r="L2455" s="10"/>
    </row>
    <row r="2456" spans="12:12" x14ac:dyDescent="0.35">
      <c r="L2456" s="10"/>
    </row>
    <row r="2457" spans="12:12" x14ac:dyDescent="0.35">
      <c r="L2457" s="10"/>
    </row>
    <row r="2458" spans="12:12" x14ac:dyDescent="0.35">
      <c r="L2458" s="10"/>
    </row>
    <row r="2459" spans="12:12" x14ac:dyDescent="0.35">
      <c r="L2459" s="10"/>
    </row>
    <row r="2460" spans="12:12" x14ac:dyDescent="0.35">
      <c r="L2460" s="10"/>
    </row>
    <row r="2461" spans="12:12" x14ac:dyDescent="0.35">
      <c r="L2461" s="10"/>
    </row>
    <row r="2462" spans="12:12" x14ac:dyDescent="0.35">
      <c r="L2462" s="10"/>
    </row>
    <row r="2463" spans="12:12" x14ac:dyDescent="0.35">
      <c r="L2463" s="10"/>
    </row>
    <row r="2464" spans="12:12" x14ac:dyDescent="0.35">
      <c r="L2464" s="10"/>
    </row>
    <row r="2465" spans="12:12" x14ac:dyDescent="0.35">
      <c r="L2465" s="10"/>
    </row>
    <row r="2466" spans="12:12" x14ac:dyDescent="0.35">
      <c r="L2466" s="10"/>
    </row>
    <row r="2467" spans="12:12" x14ac:dyDescent="0.35">
      <c r="L2467" s="10"/>
    </row>
    <row r="2468" spans="12:12" x14ac:dyDescent="0.35">
      <c r="L2468" s="10"/>
    </row>
    <row r="2469" spans="12:12" x14ac:dyDescent="0.35">
      <c r="L2469" s="10"/>
    </row>
    <row r="2470" spans="12:12" x14ac:dyDescent="0.35">
      <c r="L2470" s="10"/>
    </row>
    <row r="2471" spans="12:12" x14ac:dyDescent="0.35">
      <c r="L2471" s="10"/>
    </row>
    <row r="2472" spans="12:12" x14ac:dyDescent="0.35">
      <c r="L2472" s="10"/>
    </row>
    <row r="2473" spans="12:12" x14ac:dyDescent="0.35">
      <c r="L2473" s="10"/>
    </row>
    <row r="2474" spans="12:12" x14ac:dyDescent="0.35">
      <c r="L2474" s="10"/>
    </row>
    <row r="2475" spans="12:12" x14ac:dyDescent="0.35">
      <c r="L2475" s="10"/>
    </row>
    <row r="2476" spans="12:12" x14ac:dyDescent="0.35">
      <c r="L2476" s="10"/>
    </row>
    <row r="2477" spans="12:12" x14ac:dyDescent="0.35">
      <c r="L2477" s="10"/>
    </row>
    <row r="2478" spans="12:12" x14ac:dyDescent="0.35">
      <c r="L2478" s="10"/>
    </row>
    <row r="2479" spans="12:12" x14ac:dyDescent="0.35">
      <c r="L2479" s="10"/>
    </row>
    <row r="2480" spans="12:12" x14ac:dyDescent="0.35">
      <c r="L2480" s="10"/>
    </row>
    <row r="2481" spans="12:12" x14ac:dyDescent="0.35">
      <c r="L2481" s="10"/>
    </row>
    <row r="2482" spans="12:12" x14ac:dyDescent="0.35">
      <c r="L2482" s="10"/>
    </row>
    <row r="2483" spans="12:12" x14ac:dyDescent="0.35">
      <c r="L2483" s="10"/>
    </row>
    <row r="2484" spans="12:12" x14ac:dyDescent="0.35">
      <c r="L2484" s="10"/>
    </row>
    <row r="2485" spans="12:12" x14ac:dyDescent="0.35">
      <c r="L2485" s="10"/>
    </row>
    <row r="2486" spans="12:12" x14ac:dyDescent="0.35">
      <c r="L2486" s="10"/>
    </row>
    <row r="2487" spans="12:12" x14ac:dyDescent="0.35">
      <c r="L2487" s="10"/>
    </row>
    <row r="2488" spans="12:12" x14ac:dyDescent="0.35">
      <c r="L2488" s="10"/>
    </row>
    <row r="2489" spans="12:12" x14ac:dyDescent="0.35">
      <c r="L2489" s="10"/>
    </row>
    <row r="2490" spans="12:12" x14ac:dyDescent="0.35">
      <c r="L2490" s="10"/>
    </row>
    <row r="2491" spans="12:12" x14ac:dyDescent="0.35">
      <c r="L2491" s="10"/>
    </row>
    <row r="2492" spans="12:12" x14ac:dyDescent="0.35">
      <c r="L2492" s="10"/>
    </row>
    <row r="2493" spans="12:12" x14ac:dyDescent="0.35">
      <c r="L2493" s="10"/>
    </row>
    <row r="2494" spans="12:12" x14ac:dyDescent="0.35">
      <c r="L2494" s="10"/>
    </row>
    <row r="2495" spans="12:12" x14ac:dyDescent="0.35">
      <c r="L2495" s="10"/>
    </row>
    <row r="2496" spans="12:12" x14ac:dyDescent="0.35">
      <c r="L2496" s="10"/>
    </row>
    <row r="2497" spans="12:12" x14ac:dyDescent="0.35">
      <c r="L2497" s="10"/>
    </row>
    <row r="2498" spans="12:12" x14ac:dyDescent="0.35">
      <c r="L2498" s="10"/>
    </row>
    <row r="2499" spans="12:12" x14ac:dyDescent="0.35">
      <c r="L2499" s="10"/>
    </row>
    <row r="2500" spans="12:12" x14ac:dyDescent="0.35">
      <c r="L2500" s="10"/>
    </row>
    <row r="2501" spans="12:12" x14ac:dyDescent="0.35">
      <c r="L2501" s="10"/>
    </row>
    <row r="2502" spans="12:12" x14ac:dyDescent="0.35">
      <c r="L2502" s="10"/>
    </row>
    <row r="2503" spans="12:12" x14ac:dyDescent="0.35">
      <c r="L2503" s="10"/>
    </row>
    <row r="2504" spans="12:12" x14ac:dyDescent="0.35">
      <c r="L2504" s="10"/>
    </row>
    <row r="2505" spans="12:12" x14ac:dyDescent="0.35">
      <c r="L2505" s="10"/>
    </row>
    <row r="2506" spans="12:12" x14ac:dyDescent="0.35">
      <c r="L2506" s="10"/>
    </row>
    <row r="2507" spans="12:12" x14ac:dyDescent="0.35">
      <c r="L2507" s="10"/>
    </row>
    <row r="2508" spans="12:12" x14ac:dyDescent="0.35">
      <c r="L2508" s="10"/>
    </row>
    <row r="2509" spans="12:12" x14ac:dyDescent="0.35">
      <c r="L2509" s="10"/>
    </row>
    <row r="2510" spans="12:12" x14ac:dyDescent="0.35">
      <c r="L2510" s="10"/>
    </row>
    <row r="2511" spans="12:12" x14ac:dyDescent="0.35">
      <c r="L2511" s="10"/>
    </row>
    <row r="2512" spans="12:12" x14ac:dyDescent="0.35">
      <c r="L2512" s="10"/>
    </row>
    <row r="2513" spans="12:12" x14ac:dyDescent="0.35">
      <c r="L2513" s="10"/>
    </row>
    <row r="2514" spans="12:12" x14ac:dyDescent="0.35">
      <c r="L2514" s="10"/>
    </row>
    <row r="2515" spans="12:12" x14ac:dyDescent="0.35">
      <c r="L2515" s="10"/>
    </row>
    <row r="2516" spans="12:12" x14ac:dyDescent="0.35">
      <c r="L2516" s="10"/>
    </row>
    <row r="2517" spans="12:12" x14ac:dyDescent="0.35">
      <c r="L2517" s="10"/>
    </row>
    <row r="2518" spans="12:12" x14ac:dyDescent="0.35">
      <c r="L2518" s="10"/>
    </row>
    <row r="2519" spans="12:12" x14ac:dyDescent="0.35">
      <c r="L2519" s="10"/>
    </row>
    <row r="2520" spans="12:12" x14ac:dyDescent="0.35">
      <c r="L2520" s="10"/>
    </row>
    <row r="2521" spans="12:12" x14ac:dyDescent="0.35">
      <c r="L2521" s="10"/>
    </row>
    <row r="2522" spans="12:12" x14ac:dyDescent="0.35">
      <c r="L2522" s="10"/>
    </row>
    <row r="2523" spans="12:12" x14ac:dyDescent="0.35">
      <c r="L2523" s="10"/>
    </row>
    <row r="2524" spans="12:12" x14ac:dyDescent="0.35">
      <c r="L2524" s="10"/>
    </row>
    <row r="2525" spans="12:12" x14ac:dyDescent="0.35">
      <c r="L2525" s="10"/>
    </row>
    <row r="2526" spans="12:12" x14ac:dyDescent="0.35">
      <c r="L2526" s="10"/>
    </row>
    <row r="2527" spans="12:12" x14ac:dyDescent="0.35">
      <c r="L2527" s="10"/>
    </row>
    <row r="2528" spans="12:12" x14ac:dyDescent="0.35">
      <c r="L2528" s="10"/>
    </row>
    <row r="2529" spans="12:12" x14ac:dyDescent="0.35">
      <c r="L2529" s="10"/>
    </row>
    <row r="2530" spans="12:12" x14ac:dyDescent="0.35">
      <c r="L2530" s="10"/>
    </row>
    <row r="2531" spans="12:12" x14ac:dyDescent="0.35">
      <c r="L2531" s="10"/>
    </row>
    <row r="2532" spans="12:12" x14ac:dyDescent="0.35">
      <c r="L2532" s="10"/>
    </row>
    <row r="2533" spans="12:12" x14ac:dyDescent="0.35">
      <c r="L2533" s="10"/>
    </row>
    <row r="2534" spans="12:12" x14ac:dyDescent="0.35">
      <c r="L2534" s="10"/>
    </row>
    <row r="2535" spans="12:12" x14ac:dyDescent="0.35">
      <c r="L2535" s="10"/>
    </row>
    <row r="2536" spans="12:12" x14ac:dyDescent="0.35">
      <c r="L2536" s="10"/>
    </row>
    <row r="2537" spans="12:12" x14ac:dyDescent="0.35">
      <c r="L2537" s="10"/>
    </row>
    <row r="2538" spans="12:12" x14ac:dyDescent="0.35">
      <c r="L2538" s="10"/>
    </row>
    <row r="2539" spans="12:12" x14ac:dyDescent="0.35">
      <c r="L2539" s="10"/>
    </row>
    <row r="2540" spans="12:12" x14ac:dyDescent="0.35">
      <c r="L2540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DA48-DD4F-489C-9C9F-EDA8EA9B6CD4}">
  <sheetPr codeName="Sheet60"/>
  <dimension ref="A1:O253"/>
  <sheetViews>
    <sheetView workbookViewId="0">
      <selection activeCell="M20" sqref="M20"/>
    </sheetView>
  </sheetViews>
  <sheetFormatPr defaultRowHeight="14.5" x14ac:dyDescent="0.35"/>
  <cols>
    <col min="1" max="1" width="10.26953125" customWidth="1"/>
    <col min="7" max="7" width="25.26953125" bestFit="1" customWidth="1"/>
    <col min="8" max="8" width="12.54296875" bestFit="1" customWidth="1"/>
    <col min="9" max="9" width="9.54296875" bestFit="1" customWidth="1"/>
    <col min="10" max="11" width="9.453125" bestFit="1" customWidth="1"/>
    <col min="13" max="13" width="9.453125" bestFit="1" customWidth="1"/>
  </cols>
  <sheetData>
    <row r="1" spans="1:15" x14ac:dyDescent="0.35">
      <c r="A1" t="s">
        <v>6</v>
      </c>
      <c r="B1" t="s">
        <v>4</v>
      </c>
      <c r="C1" t="s">
        <v>5</v>
      </c>
      <c r="D1" t="s">
        <v>30</v>
      </c>
      <c r="E1" t="s">
        <v>31</v>
      </c>
      <c r="H1" t="s">
        <v>4</v>
      </c>
      <c r="I1" t="s">
        <v>5</v>
      </c>
      <c r="J1" t="s">
        <v>30</v>
      </c>
      <c r="K1" t="s">
        <v>31</v>
      </c>
    </row>
    <row r="2" spans="1:15" x14ac:dyDescent="0.35">
      <c r="A2" s="1" vm="91">
        <v>45273</v>
      </c>
      <c r="B2" s="5">
        <f ca="1">_xlfn.XLOOKUP(twoFiveTwo[[#This Row],[Date]],USDJPY[Date],USDJPY[Change %])</f>
        <v>-1.7534208897751574E-2</v>
      </c>
      <c r="C2" s="5">
        <f ca="1">_xlfn.XLOOKUP(twoFiveTwo[[#This Row],[Date]],EURUSD[Date],EURUSD[Change %])</f>
        <v>7.5055596738324657E-3</v>
      </c>
      <c r="D2" s="5">
        <f ca="1">_xlfn.XLOOKUP(twoFiveTwo[[#This Row],[Date]],SGDJPY[Date],SGDJPY[Change %])</f>
        <v>-1.1417923871283221E-2</v>
      </c>
      <c r="E2" s="5">
        <f ca="1">_xlfn.XLOOKUP(twoFiveTwo[[#This Row],[Date]],GBPUSD[Date],GBPUSD[Change %])</f>
        <v>4.5378552663004846E-3</v>
      </c>
      <c r="G2" t="s">
        <v>15</v>
      </c>
      <c r="H2" s="6">
        <f ca="1">AVERAGE(twoFiveTwo[USDJPY])</f>
        <v>1.8412724082013173E-4</v>
      </c>
      <c r="I2" s="6">
        <f ca="1">AVERAGE(twoFiveTwo[EURUSD])</f>
        <v>-8.1817353588228798E-5</v>
      </c>
      <c r="J2" s="6">
        <f ca="1">AVERAGE(twoFiveTwo[SGDJPY])</f>
        <v>1.7134751763993891E-4</v>
      </c>
      <c r="K2" s="6">
        <f ca="1">AVERAGE(twoFiveTwo[GBPUSD])</f>
        <v>4.737386127540923E-5</v>
      </c>
    </row>
    <row r="3" spans="1:15" x14ac:dyDescent="0.35">
      <c r="A3" s="1" vm="92">
        <v>45274</v>
      </c>
      <c r="B3" s="5">
        <f ca="1">_xlfn.XLOOKUP(twoFiveTwo[[#This Row],[Date]],USDJPY[Date],USDJPY[Change %])</f>
        <v>-7.0688689809629826E-3</v>
      </c>
      <c r="C3" s="5">
        <f ca="1">_xlfn.XLOOKUP(twoFiveTwo[[#This Row],[Date]],EURUSD[Date],EURUSD[Change %])</f>
        <v>1.0852570587694319E-2</v>
      </c>
      <c r="D3" s="5">
        <f ca="1">_xlfn.XLOOKUP(twoFiveTwo[[#This Row],[Date]],SGDJPY[Date],SGDJPY[Change %])</f>
        <v>-3.1053263625225157E-3</v>
      </c>
      <c r="E3" s="5">
        <f ca="1">_xlfn.XLOOKUP(twoFiveTwo[[#This Row],[Date]],GBPUSD[Date],GBPUSD[Change %])</f>
        <v>1.1729275637977432E-2</v>
      </c>
      <c r="G3" t="s">
        <v>11</v>
      </c>
      <c r="H3" s="6">
        <f ca="1">_xlfn.STDEV.S(twoFiveTwo[USDJPY])</f>
        <v>6.4586236505103081E-3</v>
      </c>
      <c r="I3" s="6">
        <f ca="1">_xlfn.STDEV.S(twoFiveTwo[EURUSD])</f>
        <v>3.7596630733027093E-3</v>
      </c>
      <c r="J3" s="6">
        <f ca="1">_xlfn.STDEV.S(twoFiveTwo[SGDJPY])</f>
        <v>4.9380826703335932E-3</v>
      </c>
      <c r="K3" s="6">
        <f ca="1">_xlfn.STDEV.S(twoFiveTwo[GBPUSD])</f>
        <v>3.9472618220703975E-3</v>
      </c>
    </row>
    <row r="4" spans="1:15" x14ac:dyDescent="0.35">
      <c r="A4" s="1" vm="93">
        <v>45275</v>
      </c>
      <c r="B4" s="5">
        <f ca="1">_xlfn.XLOOKUP(twoFiveTwo[[#This Row],[Date]],USDJPY[Date],USDJPY[Change %])</f>
        <v>1.9736378374568347E-3</v>
      </c>
      <c r="C4" s="5">
        <f ca="1">_xlfn.XLOOKUP(twoFiveTwo[[#This Row],[Date]],EURUSD[Date],EURUSD[Change %])</f>
        <v>-8.8254026021290528E-3</v>
      </c>
      <c r="D4" s="5">
        <f ca="1">_xlfn.XLOOKUP(twoFiveTwo[[#This Row],[Date]],SGDJPY[Date],SGDJPY[Change %])</f>
        <v>-1.4105481294559375E-3</v>
      </c>
      <c r="E4" s="5">
        <f ca="1">_xlfn.XLOOKUP(twoFiveTwo[[#This Row],[Date]],GBPUSD[Date],GBPUSD[Change %])</f>
        <v>-7.1283095723013367E-3</v>
      </c>
      <c r="G4" t="s">
        <v>16</v>
      </c>
      <c r="H4" s="6">
        <f ca="1">_xlfn.VAR.S(twoFiveTwo[USDJPY])</f>
        <v>4.1713819458931103E-5</v>
      </c>
      <c r="I4" s="6">
        <f ca="1">_xlfn.VAR.S(twoFiveTwo[EURUSD])</f>
        <v>1.4135066424755974E-5</v>
      </c>
      <c r="J4" s="6">
        <f ca="1">_xlfn.VAR.S(twoFiveTwo[SGDJPY])</f>
        <v>2.4384660459048948E-5</v>
      </c>
      <c r="K4" s="6">
        <f ca="1">_xlfn.VAR.S(twoFiveTwo[GBPUSD])</f>
        <v>1.5580875891974513E-5</v>
      </c>
    </row>
    <row r="5" spans="1:15" x14ac:dyDescent="0.35">
      <c r="A5" s="1" vm="94">
        <v>45278</v>
      </c>
      <c r="B5" s="5">
        <f ca="1">_xlfn.XLOOKUP(twoFiveTwo[[#This Row],[Date]],USDJPY[Date],USDJPY[Change %])</f>
        <v>4.1505451987337554E-3</v>
      </c>
      <c r="C5" s="5">
        <f ca="1">_xlfn.XLOOKUP(twoFiveTwo[[#This Row],[Date]],EURUSD[Date],EURUSD[Change %])</f>
        <v>2.5702221406279932E-3</v>
      </c>
      <c r="D5" s="5">
        <f ca="1">_xlfn.XLOOKUP(twoFiveTwo[[#This Row],[Date]],SGDJPY[Date],SGDJPY[Change %])</f>
        <v>3.9995425880517696E-3</v>
      </c>
      <c r="E5" s="5">
        <f ca="1">_xlfn.XLOOKUP(twoFiveTwo[[#This Row],[Date]],GBPUSD[Date],GBPUSD[Change %])</f>
        <v>-2.6035502958580516E-3</v>
      </c>
    </row>
    <row r="6" spans="1:15" x14ac:dyDescent="0.35">
      <c r="A6" s="1" vm="95">
        <v>45279</v>
      </c>
      <c r="B6" s="5">
        <f ca="1">_xlfn.XLOOKUP(twoFiveTwo[[#This Row],[Date]],USDJPY[Date],USDJPY[Change %])</f>
        <v>7.566204287515651E-3</v>
      </c>
      <c r="C6" s="5">
        <f ca="1">_xlfn.XLOOKUP(twoFiveTwo[[#This Row],[Date]],EURUSD[Date],EURUSD[Change %])</f>
        <v>5.3103827137887085E-3</v>
      </c>
      <c r="D6" s="5">
        <f ca="1">_xlfn.XLOOKUP(twoFiveTwo[[#This Row],[Date]],SGDJPY[Date],SGDJPY[Change %])</f>
        <v>1.0523377451479238E-2</v>
      </c>
      <c r="E6" s="5">
        <f ca="1">_xlfn.XLOOKUP(twoFiveTwo[[#This Row],[Date]],GBPUSD[Date],GBPUSD[Change %])</f>
        <v>6.9609239044454351E-3</v>
      </c>
      <c r="H6" t="s">
        <v>4</v>
      </c>
      <c r="I6" t="s">
        <v>5</v>
      </c>
      <c r="J6" t="s">
        <v>30</v>
      </c>
      <c r="K6" t="s">
        <v>31</v>
      </c>
      <c r="M6" t="s">
        <v>17</v>
      </c>
      <c r="O6" t="s">
        <v>18</v>
      </c>
    </row>
    <row r="7" spans="1:15" x14ac:dyDescent="0.35">
      <c r="A7" s="1" vm="96">
        <v>45280</v>
      </c>
      <c r="B7" s="5">
        <f ca="1">_xlfn.XLOOKUP(twoFiveTwo[[#This Row],[Date]],USDJPY[Date],USDJPY[Change %])</f>
        <v>-1.8078153247113816E-3</v>
      </c>
      <c r="C7" s="5">
        <f ca="1">_xlfn.XLOOKUP(twoFiveTwo[[#This Row],[Date]],EURUSD[Date],EURUSD[Change %])</f>
        <v>-3.825136612021841E-3</v>
      </c>
      <c r="D7" s="5">
        <f ca="1">_xlfn.XLOOKUP(twoFiveTwo[[#This Row],[Date]],SGDJPY[Date],SGDJPY[Change %])</f>
        <v>-4.8779992073251822E-3</v>
      </c>
      <c r="E7" s="5">
        <f ca="1">_xlfn.XLOOKUP(twoFiveTwo[[#This Row],[Date]],GBPUSD[Date],GBPUSD[Change %])</f>
        <v>-7.3055773762764056E-3</v>
      </c>
      <c r="G7" t="s">
        <v>4</v>
      </c>
      <c r="H7" s="6">
        <f ca="1">_xlfn.COVARIANCE.S(twoFiveTwo[USDJPY],twoFiveTwo[USDJPY])</f>
        <v>4.171381945893111E-5</v>
      </c>
      <c r="I7" s="6">
        <f ca="1">_xlfn.COVARIANCE.S(twoFiveTwo[USDJPY],twoFiveTwo[EURUSD])</f>
        <v>-1.2522582274134831E-5</v>
      </c>
      <c r="J7" s="6">
        <f ca="1">_xlfn.COVARIANCE.S(twoFiveTwo[USDJPY],twoFiveTwo[SGDJPY])</f>
        <v>2.9180178734324489E-5</v>
      </c>
      <c r="K7" s="6">
        <f ca="1">_xlfn.COVARIANCE.S(twoFiveTwo[USDJPY],twoFiveTwo[GBPUSD])</f>
        <v>-9.8936427562282077E-6</v>
      </c>
      <c r="M7" s="6" cm="1">
        <f t="array" aca="1" ref="M7:M10" ca="1">TRANSPOSE(H2:K2)</f>
        <v>1.8412724082013173E-4</v>
      </c>
      <c r="O7" s="7">
        <v>1</v>
      </c>
    </row>
    <row r="8" spans="1:15" x14ac:dyDescent="0.35">
      <c r="A8" s="1" vm="97">
        <v>45281</v>
      </c>
      <c r="B8" s="5">
        <f ca="1">_xlfn.XLOOKUP(twoFiveTwo[[#This Row],[Date]],USDJPY[Date],USDJPY[Change %])</f>
        <v>-1.0169963778211256E-2</v>
      </c>
      <c r="C8" s="5">
        <f ca="1">_xlfn.XLOOKUP(twoFiveTwo[[#This Row],[Date]],EURUSD[Date],EURUSD[Change %])</f>
        <v>6.3997074419454144E-3</v>
      </c>
      <c r="D8" s="5">
        <f ca="1">_xlfn.XLOOKUP(twoFiveTwo[[#This Row],[Date]],SGDJPY[Date],SGDJPY[Change %])</f>
        <v>-5.544358114286942E-3</v>
      </c>
      <c r="E8" s="5">
        <f ca="1">_xlfn.XLOOKUP(twoFiveTwo[[#This Row],[Date]],GBPUSD[Date],GBPUSD[Change %])</f>
        <v>4.0357679829072426E-3</v>
      </c>
      <c r="G8" t="s">
        <v>5</v>
      </c>
      <c r="H8" s="6">
        <f ca="1">_xlfn.COVARIANCE.S(twoFiveTwo[EURUSD],twoFiveTwo[USDJPY])</f>
        <v>-1.2522582274134831E-5</v>
      </c>
      <c r="I8" s="6">
        <f ca="1">_xlfn.COVARIANCE.S(twoFiveTwo[EURUSD],twoFiveTwo[EURUSD])</f>
        <v>1.4135066424755986E-5</v>
      </c>
      <c r="J8" s="6">
        <f ca="1">_xlfn.COVARIANCE.S(twoFiveTwo[EURUSD],twoFiveTwo[SGDJPY])</f>
        <v>-3.5813463725156237E-6</v>
      </c>
      <c r="K8" s="6">
        <f ca="1">_xlfn.COVARIANCE.S(twoFiveTwo[EURUSD],twoFiveTwo[GBPUSD])</f>
        <v>1.1843178559272655E-5</v>
      </c>
      <c r="M8" s="6">
        <f ca="1"/>
        <v>-8.1817353588228798E-5</v>
      </c>
      <c r="O8" s="7">
        <v>0</v>
      </c>
    </row>
    <row r="9" spans="1:15" x14ac:dyDescent="0.35">
      <c r="A9" s="1" vm="98">
        <v>45282</v>
      </c>
      <c r="B9" s="5">
        <f ca="1">_xlfn.XLOOKUP(twoFiveTwo[[#This Row],[Date]],USDJPY[Date],USDJPY[Change %])</f>
        <v>2.1815622800844636E-3</v>
      </c>
      <c r="C9" s="5">
        <f ca="1">_xlfn.XLOOKUP(twoFiveTwo[[#This Row],[Date]],EURUSD[Date],EURUSD[Change %])</f>
        <v>1.816860465116079E-4</v>
      </c>
      <c r="D9" s="5">
        <f ca="1">_xlfn.XLOOKUP(twoFiveTwo[[#This Row],[Date]],SGDJPY[Date],SGDJPY[Change %])</f>
        <v>4.0740917081404917E-3</v>
      </c>
      <c r="E9" s="5">
        <f ca="1">_xlfn.XLOOKUP(twoFiveTwo[[#This Row],[Date]],GBPUSD[Date],GBPUSD[Change %])</f>
        <v>9.4577553593954127E-4</v>
      </c>
      <c r="G9" t="s">
        <v>30</v>
      </c>
      <c r="H9" s="6">
        <f ca="1">_xlfn.COVARIANCE.S(twoFiveTwo[SGDJPY],twoFiveTwo[USDJPY])</f>
        <v>2.9180178734324489E-5</v>
      </c>
      <c r="I9" s="6">
        <f ca="1">_xlfn.COVARIANCE.S(twoFiveTwo[SGDJPY],twoFiveTwo[EURUSD])</f>
        <v>-3.5813463725156237E-6</v>
      </c>
      <c r="J9" s="6">
        <f ca="1">_xlfn.COVARIANCE.S(twoFiveTwo[SGDJPY],twoFiveTwo[SGDJPY])</f>
        <v>2.4384660459048927E-5</v>
      </c>
      <c r="K9" s="6">
        <f ca="1">_xlfn.COVARIANCE.S(twoFiveTwo[SGDJPY],twoFiveTwo[GBPUSD])</f>
        <v>-1.7482860610829946E-6</v>
      </c>
      <c r="M9" s="6">
        <f ca="1"/>
        <v>1.7134751763993891E-4</v>
      </c>
      <c r="O9" s="7">
        <v>0</v>
      </c>
    </row>
    <row r="10" spans="1:15" x14ac:dyDescent="0.35">
      <c r="A10" s="1" vm="99">
        <v>45285</v>
      </c>
      <c r="B10" s="5">
        <f ca="1">_xlfn.XLOOKUP(twoFiveTwo[[#This Row],[Date]],USDJPY[Date],USDJPY[Change %])</f>
        <v>-4.9153851555363518E-4</v>
      </c>
      <c r="C10" s="5">
        <f ca="1">_xlfn.XLOOKUP(twoFiveTwo[[#This Row],[Date]],EURUSD[Date],EURUSD[Change %])</f>
        <v>-2.7247956403266753E-4</v>
      </c>
      <c r="D10" s="5">
        <f ca="1">_xlfn.XLOOKUP(twoFiveTwo[[#This Row],[Date]],SGDJPY[Date],SGDJPY[Change %])</f>
        <v>-1.1705932834537378E-3</v>
      </c>
      <c r="E10" s="5">
        <f ca="1">_xlfn.XLOOKUP(twoFiveTwo[[#This Row],[Date]],GBPUSD[Date],GBPUSD[Change %])</f>
        <v>-8.6614173228354398E-4</v>
      </c>
      <c r="G10" t="s">
        <v>31</v>
      </c>
      <c r="H10" s="6">
        <f ca="1">_xlfn.COVARIANCE.S(twoFiveTwo[GBPUSD],twoFiveTwo[USDJPY])</f>
        <v>-9.8936427562282077E-6</v>
      </c>
      <c r="I10" s="6">
        <f ca="1">_xlfn.COVARIANCE.S(twoFiveTwo[GBPUSD],twoFiveTwo[EURUSD])</f>
        <v>1.1843178559272655E-5</v>
      </c>
      <c r="J10" s="6">
        <f ca="1">_xlfn.COVARIANCE.S(twoFiveTwo[GBPUSD],twoFiveTwo[SGDJPY])</f>
        <v>-1.7482860610829946E-6</v>
      </c>
      <c r="K10" s="6">
        <f ca="1">_xlfn.COVARIANCE.S(twoFiveTwo[GBPUSD],twoFiveTwo[GBPUSD])</f>
        <v>1.5580875891974513E-5</v>
      </c>
      <c r="M10" s="6">
        <f ca="1"/>
        <v>4.737386127540923E-5</v>
      </c>
      <c r="O10" s="7">
        <v>0</v>
      </c>
    </row>
    <row r="11" spans="1:15" x14ac:dyDescent="0.35">
      <c r="A11" s="1" vm="100">
        <v>45286</v>
      </c>
      <c r="B11" s="5">
        <f ca="1">_xlfn.XLOOKUP(twoFiveTwo[[#This Row],[Date]],USDJPY[Date],USDJPY[Change %])</f>
        <v>2.8101728256282172E-4</v>
      </c>
      <c r="C11" s="5">
        <f ca="1">_xlfn.XLOOKUP(twoFiveTwo[[#This Row],[Date]],EURUSD[Date],EURUSD[Change %])</f>
        <v>3.1797946761152524E-3</v>
      </c>
      <c r="D11" s="5">
        <f ca="1">_xlfn.XLOOKUP(twoFiveTwo[[#This Row],[Date]],SGDJPY[Date],SGDJPY[Change %])</f>
        <v>1.1877899659674068E-3</v>
      </c>
      <c r="E11" s="5">
        <f ca="1">_xlfn.XLOOKUP(twoFiveTwo[[#This Row],[Date]],GBPUSD[Date],GBPUSD[Change %])</f>
        <v>2.9159114193396144E-3</v>
      </c>
    </row>
    <row r="12" spans="1:15" x14ac:dyDescent="0.35">
      <c r="A12" s="1" vm="101">
        <v>45287</v>
      </c>
      <c r="B12" s="5">
        <f ca="1">_xlfn.XLOOKUP(twoFiveTwo[[#This Row],[Date]],USDJPY[Date],USDJPY[Change %])</f>
        <v>-3.8629020929904687E-3</v>
      </c>
      <c r="C12" s="5">
        <f ca="1">_xlfn.XLOOKUP(twoFiveTwo[[#This Row],[Date]],EURUSD[Date],EURUSD[Change %])</f>
        <v>5.5243615287085615E-3</v>
      </c>
      <c r="D12" s="5">
        <f ca="1">_xlfn.XLOOKUP(twoFiveTwo[[#This Row],[Date]],SGDJPY[Date],SGDJPY[Change %])</f>
        <v>-1.071089871134514E-3</v>
      </c>
      <c r="E12" s="5">
        <f ca="1">_xlfn.XLOOKUP(twoFiveTwo[[#This Row],[Date]],GBPUSD[Date],GBPUSD[Change %])</f>
        <v>5.3433914820054532E-3</v>
      </c>
      <c r="G12" s="9" t="s">
        <v>19</v>
      </c>
    </row>
    <row r="13" spans="1:15" x14ac:dyDescent="0.35">
      <c r="A13" s="1" vm="102">
        <v>45288</v>
      </c>
      <c r="B13" s="5">
        <f ca="1">_xlfn.XLOOKUP(twoFiveTwo[[#This Row],[Date]],USDJPY[Date],USDJPY[Change %])</f>
        <v>-3.1023055770995284E-3</v>
      </c>
      <c r="C13" s="5">
        <f ca="1">_xlfn.XLOOKUP(twoFiveTwo[[#This Row],[Date]],EURUSD[Date],EURUSD[Change %])</f>
        <v>-3.9628929118255959E-3</v>
      </c>
      <c r="D13" s="5">
        <f ca="1">_xlfn.XLOOKUP(twoFiveTwo[[#This Row],[Date]],SGDJPY[Date],SGDJPY[Change %])</f>
        <v>-3.4037982553789124E-3</v>
      </c>
      <c r="E13" s="5">
        <f ca="1">_xlfn.XLOOKUP(twoFiveTwo[[#This Row],[Date]],GBPUSD[Date],GBPUSD[Change %])</f>
        <v>-5.0023448491481812E-3</v>
      </c>
      <c r="G13" t="s">
        <v>20</v>
      </c>
      <c r="H13" s="8">
        <v>1000000</v>
      </c>
    </row>
    <row r="14" spans="1:15" x14ac:dyDescent="0.35">
      <c r="A14" s="1" vm="103">
        <v>45289</v>
      </c>
      <c r="B14" s="5">
        <f ca="1">_xlfn.XLOOKUP(twoFiveTwo[[#This Row],[Date]],USDJPY[Date],USDJPY[Change %])</f>
        <v>-2.3339698705706494E-3</v>
      </c>
      <c r="C14" s="5">
        <f ca="1">_xlfn.XLOOKUP(twoFiveTwo[[#This Row],[Date]],EURUSD[Date],EURUSD[Change %])</f>
        <v>-2.0797540464781539E-3</v>
      </c>
      <c r="D14" s="5">
        <f ca="1">_xlfn.XLOOKUP(twoFiveTwo[[#This Row],[Date]],SGDJPY[Date],SGDJPY[Change %])</f>
        <v>-1.9566072150707446E-3</v>
      </c>
      <c r="E14" s="5">
        <f ca="1">_xlfn.XLOOKUP(twoFiveTwo[[#This Row],[Date]],GBPUSD[Date],GBPUSD[Change %])</f>
        <v>-7.8554595443824815E-5</v>
      </c>
      <c r="G14" t="s">
        <v>21</v>
      </c>
      <c r="H14" s="6">
        <f ca="1">SUMPRODUCT(M7:M10,O7:O10)</f>
        <v>1.8412724082013173E-4</v>
      </c>
    </row>
    <row r="15" spans="1:15" x14ac:dyDescent="0.35">
      <c r="A15" s="1" vm="104">
        <v>45292</v>
      </c>
      <c r="B15" s="5">
        <f ca="1">_xlfn.XLOOKUP(twoFiveTwo[[#This Row],[Date]],USDJPY[Date],USDJPY[Change %])</f>
        <v>-1.34694456259746E-3</v>
      </c>
      <c r="C15" s="5">
        <f ca="1">_xlfn.XLOOKUP(twoFiveTwo[[#This Row],[Date]],EURUSD[Date],EURUSD[Change %])</f>
        <v>7.249003262052682E-4</v>
      </c>
      <c r="D15" s="5">
        <f ca="1">_xlfn.XLOOKUP(twoFiveTwo[[#This Row],[Date]],SGDJPY[Date],SGDJPY[Change %])</f>
        <v>-1.5739690596236584E-3</v>
      </c>
      <c r="E15" s="5">
        <f ca="1">_xlfn.XLOOKUP(twoFiveTwo[[#This Row],[Date]],GBPUSD[Date],GBPUSD[Change %])</f>
        <v>-4.713646005184492E-4</v>
      </c>
      <c r="G15" t="s">
        <v>22</v>
      </c>
      <c r="H15" s="6" cm="1">
        <f t="array" aca="1" ref="H15" ca="1">SQRT(MMULT(MMULT(TRANSPOSE(O7:O10),H7:K10),O7:O10))</f>
        <v>6.458623650510309E-3</v>
      </c>
    </row>
    <row r="16" spans="1:15" x14ac:dyDescent="0.35">
      <c r="A16" s="1" vm="105">
        <v>45293</v>
      </c>
      <c r="B16" s="5">
        <f ca="1">_xlfn.XLOOKUP(twoFiveTwo[[#This Row],[Date]],USDJPY[Date],USDJPY[Change %])</f>
        <v>7.8796053098600504E-3</v>
      </c>
      <c r="C16" s="5">
        <f ca="1">_xlfn.XLOOKUP(twoFiveTwo[[#This Row],[Date]],EURUSD[Date],EURUSD[Change %])</f>
        <v>-8.7830496197030435E-3</v>
      </c>
      <c r="D16" s="5">
        <f ca="1">_xlfn.XLOOKUP(twoFiveTwo[[#This Row],[Date]],SGDJPY[Date],SGDJPY[Change %])</f>
        <v>3.0938540930535653E-3</v>
      </c>
      <c r="E16" s="5">
        <f ca="1">_xlfn.XLOOKUP(twoFiveTwo[[#This Row],[Date]],GBPUSD[Date],GBPUSD[Change %])</f>
        <v>-8.5671618329009741E-3</v>
      </c>
    </row>
    <row r="17" spans="1:8" x14ac:dyDescent="0.35">
      <c r="A17" s="1" vm="106">
        <v>45294</v>
      </c>
      <c r="B17" s="5">
        <f ca="1">_xlfn.XLOOKUP(twoFiveTwo[[#This Row],[Date]],USDJPY[Date],USDJPY[Change %])</f>
        <v>9.226651641076224E-3</v>
      </c>
      <c r="C17" s="5">
        <f ca="1">_xlfn.XLOOKUP(twoFiveTwo[[#This Row],[Date]],EURUSD[Date],EURUSD[Change %])</f>
        <v>-2.375079930574528E-3</v>
      </c>
      <c r="D17" s="5">
        <f ca="1">_xlfn.XLOOKUP(twoFiveTwo[[#This Row],[Date]],SGDJPY[Date],SGDJPY[Change %])</f>
        <v>7.4795259073772097E-3</v>
      </c>
      <c r="E17" s="5">
        <f ca="1">_xlfn.XLOOKUP(twoFiveTwo[[#This Row],[Date]],GBPUSD[Date],GBPUSD[Change %])</f>
        <v>3.8052957031868679E-3</v>
      </c>
      <c r="G17" s="9" t="s">
        <v>29</v>
      </c>
    </row>
    <row r="18" spans="1:8" x14ac:dyDescent="0.35">
      <c r="A18" s="1" vm="107">
        <v>45295</v>
      </c>
      <c r="B18" s="5">
        <f ca="1">_xlfn.XLOOKUP(twoFiveTwo[[#This Row],[Date]],USDJPY[Date],USDJPY[Change %])</f>
        <v>9.2818759159746852E-3</v>
      </c>
      <c r="C18" s="5">
        <f ca="1">_xlfn.XLOOKUP(twoFiveTwo[[#This Row],[Date]],EURUSD[Date],EURUSD[Change %])</f>
        <v>2.0144675396025816E-3</v>
      </c>
      <c r="D18" s="5">
        <f ca="1">_xlfn.XLOOKUP(twoFiveTwo[[#This Row],[Date]],SGDJPY[Date],SGDJPY[Change %])</f>
        <v>8.6750876411997233E-3</v>
      </c>
      <c r="E18" s="5">
        <f ca="1">_xlfn.XLOOKUP(twoFiveTwo[[#This Row],[Date]],GBPUSD[Date],GBPUSD[Change %])</f>
        <v>1.3425999052282694E-3</v>
      </c>
      <c r="G18" t="s">
        <v>23</v>
      </c>
      <c r="H18" s="7">
        <v>0.95</v>
      </c>
    </row>
    <row r="19" spans="1:8" x14ac:dyDescent="0.35">
      <c r="A19" s="1" vm="108">
        <v>45296</v>
      </c>
      <c r="B19" s="5">
        <f ca="1">_xlfn.XLOOKUP(twoFiveTwo[[#This Row],[Date]],USDJPY[Date],USDJPY[Change %])</f>
        <v>2.0744018807911173E-4</v>
      </c>
      <c r="C19" s="5">
        <f ca="1">_xlfn.XLOOKUP(twoFiveTwo[[#This Row],[Date]],EURUSD[Date],EURUSD[Change %])</f>
        <v>-1.8276523805170242E-4</v>
      </c>
      <c r="D19" s="5">
        <f ca="1">_xlfn.XLOOKUP(twoFiveTwo[[#This Row],[Date]],SGDJPY[Date],SGDJPY[Change %])</f>
        <v>-2.3169984939508056E-4</v>
      </c>
      <c r="E19" s="5">
        <f ca="1">_xlfn.XLOOKUP(twoFiveTwo[[#This Row],[Date]],GBPUSD[Date],GBPUSD[Change %])</f>
        <v>2.9182112153955646E-3</v>
      </c>
      <c r="G19" t="s">
        <v>24</v>
      </c>
      <c r="H19" s="8">
        <f ca="1">_xlfn.NORM.INV(1-H18,H14,H15)*H13</f>
        <v>-10439.363295836303</v>
      </c>
    </row>
    <row r="20" spans="1:8" x14ac:dyDescent="0.35">
      <c r="A20" s="1" vm="109">
        <v>45299</v>
      </c>
      <c r="B20" s="5">
        <f ca="1">_xlfn.XLOOKUP(twoFiveTwo[[#This Row],[Date]],USDJPY[Date],USDJPY[Change %])</f>
        <v>-2.9726927065330576E-3</v>
      </c>
      <c r="C20" s="5">
        <f ca="1">_xlfn.XLOOKUP(twoFiveTwo[[#This Row],[Date]],EURUSD[Date],EURUSD[Change %])</f>
        <v>7.3119458915995965E-4</v>
      </c>
      <c r="D20" s="5">
        <f ca="1">_xlfn.XLOOKUP(twoFiveTwo[[#This Row],[Date]],SGDJPY[Date],SGDJPY[Change %])</f>
        <v>-1.6222748265986948E-3</v>
      </c>
      <c r="E20" s="5">
        <f ca="1">_xlfn.XLOOKUP(twoFiveTwo[[#This Row],[Date]],GBPUSD[Date],GBPUSD[Change %])</f>
        <v>2.4378735451398869E-3</v>
      </c>
      <c r="G20" t="s">
        <v>25</v>
      </c>
      <c r="H20" s="8">
        <f ca="1">$H$19*SQRT(LEFT($G20,2))</f>
        <v>-33012.165336804886</v>
      </c>
    </row>
    <row r="21" spans="1:8" x14ac:dyDescent="0.35">
      <c r="A21" s="1" vm="110">
        <v>45300</v>
      </c>
      <c r="B21" s="5">
        <f ca="1">_xlfn.XLOOKUP(twoFiveTwo[[#This Row],[Date]],USDJPY[Date],USDJPY[Change %])</f>
        <v>1.7334627652198032E-3</v>
      </c>
      <c r="C21" s="5">
        <f ca="1">_xlfn.XLOOKUP(twoFiveTwo[[#This Row],[Date]],EURUSD[Date],EURUSD[Change %])</f>
        <v>-1.6439857521235034E-3</v>
      </c>
      <c r="D21" s="5">
        <f ca="1">_xlfn.XLOOKUP(twoFiveTwo[[#This Row],[Date]],SGDJPY[Date],SGDJPY[Change %])</f>
        <v>-3.1042798531312758E-4</v>
      </c>
      <c r="E21" s="5">
        <f ca="1">_xlfn.XLOOKUP(twoFiveTwo[[#This Row],[Date]],GBPUSD[Date],GBPUSD[Change %])</f>
        <v>-3.2948929159802164E-3</v>
      </c>
      <c r="G21" t="s">
        <v>26</v>
      </c>
      <c r="H21" s="8">
        <f ca="1">$H$19*SQRT(LEFT($G21,2))</f>
        <v>-57178.747631210201</v>
      </c>
    </row>
    <row r="22" spans="1:8" x14ac:dyDescent="0.35">
      <c r="A22" s="1" vm="111">
        <v>45301</v>
      </c>
      <c r="B22" s="5">
        <f ca="1">_xlfn.XLOOKUP(twoFiveTwo[[#This Row],[Date]],USDJPY[Date],USDJPY[Change %])</f>
        <v>8.7215338824668861E-3</v>
      </c>
      <c r="C22" s="5">
        <f ca="1">_xlfn.XLOOKUP(twoFiveTwo[[#This Row],[Date]],EURUSD[Date],EURUSD[Change %])</f>
        <v>3.6593175372793009E-3</v>
      </c>
      <c r="D22" s="5">
        <f ca="1">_xlfn.XLOOKUP(twoFiveTwo[[#This Row],[Date]],SGDJPY[Date],SGDJPY[Change %])</f>
        <v>8.4753805766538647E-3</v>
      </c>
      <c r="E22" s="5">
        <f ca="1">_xlfn.XLOOKUP(twoFiveTwo[[#This Row],[Date]],GBPUSD[Date],GBPUSD[Change %])</f>
        <v>2.6761117670209126E-3</v>
      </c>
      <c r="G22" t="s">
        <v>27</v>
      </c>
      <c r="H22" s="8">
        <f ca="1">$H$19*SQRT(LEFT($G22,2))</f>
        <v>-80862.96037956595</v>
      </c>
    </row>
    <row r="23" spans="1:8" x14ac:dyDescent="0.35">
      <c r="A23" s="1" vm="112">
        <v>45302</v>
      </c>
      <c r="B23" s="5">
        <f ca="1">_xlfn.XLOOKUP(twoFiveTwo[[#This Row],[Date]],USDJPY[Date],USDJPY[Change %])</f>
        <v>-3.0879022850476131E-3</v>
      </c>
      <c r="C23" s="5">
        <f ca="1">_xlfn.XLOOKUP(twoFiveTwo[[#This Row],[Date]],EURUSD[Date],EURUSD[Change %])</f>
        <v>-9.114939385652082E-5</v>
      </c>
      <c r="D23" s="5">
        <f ca="1">_xlfn.XLOOKUP(twoFiveTwo[[#This Row],[Date]],SGDJPY[Date],SGDJPY[Change %])</f>
        <v>-2.6944819312555188E-3</v>
      </c>
      <c r="E23" s="5">
        <f ca="1">_xlfn.XLOOKUP(twoFiveTwo[[#This Row],[Date]],GBPUSD[Date],GBPUSD[Change %])</f>
        <v>1.6484810424680044E-3</v>
      </c>
      <c r="G23" t="s">
        <v>28</v>
      </c>
      <c r="H23" s="8">
        <f ca="1">$H$19*SQRT(LEFT($G23,2))</f>
        <v>-99036.496010414659</v>
      </c>
    </row>
    <row r="24" spans="1:8" x14ac:dyDescent="0.35">
      <c r="A24" s="1" vm="113">
        <v>45303</v>
      </c>
      <c r="B24" s="5">
        <f ca="1">_xlfn.XLOOKUP(twoFiveTwo[[#This Row],[Date]],USDJPY[Date],USDJPY[Change %])</f>
        <v>-2.6156387665197925E-3</v>
      </c>
      <c r="C24" s="5">
        <f ca="1">_xlfn.XLOOKUP(twoFiveTwo[[#This Row],[Date]],EURUSD[Date],EURUSD[Change %])</f>
        <v>-1.9143117593436562E-3</v>
      </c>
      <c r="D24" s="5">
        <f ca="1">_xlfn.XLOOKUP(twoFiveTwo[[#This Row],[Date]],SGDJPY[Date],SGDJPY[Change %])</f>
        <v>-3.513481324037324E-3</v>
      </c>
      <c r="E24" s="5">
        <f ca="1">_xlfn.XLOOKUP(twoFiveTwo[[#This Row],[Date]],GBPUSD[Date],GBPUSD[Change %])</f>
        <v>-7.0532915360511201E-4</v>
      </c>
    </row>
    <row r="25" spans="1:8" x14ac:dyDescent="0.35">
      <c r="A25" s="1" vm="114">
        <v>45306</v>
      </c>
      <c r="B25" s="5">
        <f ca="1">_xlfn.XLOOKUP(twoFiveTwo[[#This Row],[Date]],USDJPY[Date],USDJPY[Change %])</f>
        <v>5.7280883367838787E-3</v>
      </c>
      <c r="C25" s="5">
        <f ca="1">_xlfn.XLOOKUP(twoFiveTwo[[#This Row],[Date]],EURUSD[Date],EURUSD[Change %])</f>
        <v>-9.1332541784627807E-5</v>
      </c>
      <c r="D25" s="5">
        <f ca="1">_xlfn.XLOOKUP(twoFiveTwo[[#This Row],[Date]],SGDJPY[Date],SGDJPY[Change %])</f>
        <v>4.4461810743098408E-3</v>
      </c>
      <c r="E25" s="5">
        <f ca="1">_xlfn.XLOOKUP(twoFiveTwo[[#This Row],[Date]],GBPUSD[Date],GBPUSD[Change %])</f>
        <v>-2.0390557603324729E-3</v>
      </c>
    </row>
    <row r="26" spans="1:8" x14ac:dyDescent="0.35">
      <c r="A26" s="1" vm="115">
        <v>45307</v>
      </c>
      <c r="B26" s="5">
        <f ca="1">_xlfn.XLOOKUP(twoFiveTwo[[#This Row],[Date]],USDJPY[Date],USDJPY[Change %])</f>
        <v>9.9499073629315659E-3</v>
      </c>
      <c r="C26" s="5">
        <f ca="1">_xlfn.XLOOKUP(twoFiveTwo[[#This Row],[Date]],EURUSD[Date],EURUSD[Change %])</f>
        <v>-6.7592254293022229E-3</v>
      </c>
      <c r="D26" s="5">
        <f ca="1">_xlfn.XLOOKUP(twoFiveTwo[[#This Row],[Date]],SGDJPY[Date],SGDJPY[Change %])</f>
        <v>3.2558024587396651E-3</v>
      </c>
      <c r="E26" s="5">
        <f ca="1">_xlfn.XLOOKUP(twoFiveTwo[[#This Row],[Date]],GBPUSD[Date],GBPUSD[Change %])</f>
        <v>-6.9941060903732089E-3</v>
      </c>
    </row>
    <row r="27" spans="1:8" x14ac:dyDescent="0.35">
      <c r="A27" s="1" vm="116">
        <v>45308</v>
      </c>
      <c r="B27" s="5">
        <f ca="1">_xlfn.XLOOKUP(twoFiveTwo[[#This Row],[Date]],USDJPY[Date],USDJPY[Change %])</f>
        <v>6.5905693708384208E-3</v>
      </c>
      <c r="C27" s="5">
        <f ca="1">_xlfn.XLOOKUP(twoFiveTwo[[#This Row],[Date]],EURUSD[Date],EURUSD[Change %])</f>
        <v>6.4373735515922844E-4</v>
      </c>
      <c r="D27" s="5">
        <f ca="1">_xlfn.XLOOKUP(twoFiveTwo[[#This Row],[Date]],SGDJPY[Date],SGDJPY[Change %])</f>
        <v>5.0936620720611172E-3</v>
      </c>
      <c r="E27" s="5">
        <f ca="1">_xlfn.XLOOKUP(twoFiveTwo[[#This Row],[Date]],GBPUSD[Date],GBPUSD[Change %])</f>
        <v>2.8490028490028864E-3</v>
      </c>
    </row>
    <row r="28" spans="1:8" x14ac:dyDescent="0.35">
      <c r="A28" s="1" vm="117">
        <v>45309</v>
      </c>
      <c r="B28" s="5">
        <f ca="1">_xlfn.XLOOKUP(twoFiveTwo[[#This Row],[Date]],USDJPY[Date],USDJPY[Change %])</f>
        <v>0</v>
      </c>
      <c r="C28" s="5">
        <f ca="1">_xlfn.XLOOKUP(twoFiveTwo[[#This Row],[Date]],EURUSD[Date],EURUSD[Change %])</f>
        <v>-6.4332322396851843E-4</v>
      </c>
      <c r="D28" s="5">
        <f ca="1">_xlfn.XLOOKUP(twoFiveTwo[[#This Row],[Date]],SGDJPY[Date],SGDJPY[Change %])</f>
        <v>3.7216868137015288E-4</v>
      </c>
      <c r="E28" s="5">
        <f ca="1">_xlfn.XLOOKUP(twoFiveTwo[[#This Row],[Date]],GBPUSD[Date],GBPUSD[Change %])</f>
        <v>2.6041666666665551E-3</v>
      </c>
    </row>
    <row r="29" spans="1:8" x14ac:dyDescent="0.35">
      <c r="A29" s="1" vm="118">
        <v>45310</v>
      </c>
      <c r="B29" s="5">
        <f ca="1">_xlfn.XLOOKUP(twoFiveTwo[[#This Row],[Date]],USDJPY[Date],USDJPY[Change %])</f>
        <v>-6.7499156260677194E-5</v>
      </c>
      <c r="C29" s="5">
        <f ca="1">_xlfn.XLOOKUP(twoFiveTwo[[#This Row],[Date]],EURUSD[Date],EURUSD[Change %])</f>
        <v>2.1151370240941412E-3</v>
      </c>
      <c r="D29" s="5">
        <f ca="1">_xlfn.XLOOKUP(twoFiveTwo[[#This Row],[Date]],SGDJPY[Date],SGDJPY[Change %])</f>
        <v>2.5425089899741805E-3</v>
      </c>
      <c r="E29" s="5">
        <f ca="1">_xlfn.XLOOKUP(twoFiveTwo[[#This Row],[Date]],GBPUSD[Date],GBPUSD[Change %])</f>
        <v>-3.935458480912593E-4</v>
      </c>
    </row>
    <row r="30" spans="1:8" x14ac:dyDescent="0.35">
      <c r="A30" s="1" vm="119">
        <v>45313</v>
      </c>
      <c r="B30" s="5">
        <f ca="1">_xlfn.XLOOKUP(twoFiveTwo[[#This Row],[Date]],USDJPY[Date],USDJPY[Change %])</f>
        <v>-3.3751856352087859E-4</v>
      </c>
      <c r="C30" s="5">
        <f ca="1">_xlfn.XLOOKUP(twoFiveTwo[[#This Row],[Date]],EURUSD[Date],EURUSD[Change %])</f>
        <v>-1.4682940258785207E-3</v>
      </c>
      <c r="D30" s="5">
        <f ca="1">_xlfn.XLOOKUP(twoFiveTwo[[#This Row],[Date]],SGDJPY[Date],SGDJPY[Change %])</f>
        <v>-1.1639452131169731E-3</v>
      </c>
      <c r="E30" s="5">
        <f ca="1">_xlfn.XLOOKUP(twoFiveTwo[[#This Row],[Date]],GBPUSD[Date],GBPUSD[Change %])</f>
        <v>4.7244094488183773E-4</v>
      </c>
    </row>
    <row r="31" spans="1:8" x14ac:dyDescent="0.35">
      <c r="A31" s="1" vm="120">
        <v>45314</v>
      </c>
      <c r="B31" s="5">
        <f ca="1">_xlfn.XLOOKUP(twoFiveTwo[[#This Row],[Date]],USDJPY[Date],USDJPY[Change %])</f>
        <v>1.8232156121278291E-3</v>
      </c>
      <c r="C31" s="5">
        <f ca="1">_xlfn.XLOOKUP(twoFiveTwo[[#This Row],[Date]],EURUSD[Date],EURUSD[Change %])</f>
        <v>-2.7570995312931842E-3</v>
      </c>
      <c r="D31" s="5">
        <f ca="1">_xlfn.XLOOKUP(twoFiveTwo[[#This Row],[Date]],SGDJPY[Date],SGDJPY[Change %])</f>
        <v>2.1285329433289235E-3</v>
      </c>
      <c r="E31" s="5">
        <f ca="1">_xlfn.XLOOKUP(twoFiveTwo[[#This Row],[Date]],GBPUSD[Date],GBPUSD[Change %])</f>
        <v>-1.4953565244766353E-3</v>
      </c>
    </row>
    <row r="32" spans="1:8" x14ac:dyDescent="0.35">
      <c r="A32" s="1" vm="121">
        <v>45315</v>
      </c>
      <c r="B32" s="5">
        <f ca="1">_xlfn.XLOOKUP(twoFiveTwo[[#This Row],[Date]],USDJPY[Date],USDJPY[Change %])</f>
        <v>-5.796710703693809E-3</v>
      </c>
      <c r="C32" s="5">
        <f ca="1">_xlfn.XLOOKUP(twoFiveTwo[[#This Row],[Date]],EURUSD[Date],EURUSD[Change %])</f>
        <v>2.9490369551194284E-3</v>
      </c>
      <c r="D32" s="5">
        <f ca="1">_xlfn.XLOOKUP(twoFiveTwo[[#This Row],[Date]],SGDJPY[Date],SGDJPY[Change %])</f>
        <v>-4.750769943016122E-3</v>
      </c>
      <c r="E32" s="5">
        <f ca="1">_xlfn.XLOOKUP(twoFiveTwo[[#This Row],[Date]],GBPUSD[Date],GBPUSD[Change %])</f>
        <v>2.8375502482856844E-3</v>
      </c>
    </row>
    <row r="33" spans="1:5" x14ac:dyDescent="0.35">
      <c r="A33" s="1" vm="122">
        <v>45316</v>
      </c>
      <c r="B33" s="5">
        <f ca="1">_xlfn.XLOOKUP(twoFiveTwo[[#This Row],[Date]],USDJPY[Date],USDJPY[Change %])</f>
        <v>1.0169491525424115E-3</v>
      </c>
      <c r="C33" s="5">
        <f ca="1">_xlfn.XLOOKUP(twoFiveTwo[[#This Row],[Date]],EURUSD[Date],EURUSD[Change %])</f>
        <v>-3.3997978498576096E-3</v>
      </c>
      <c r="D33" s="5">
        <f ca="1">_xlfn.XLOOKUP(twoFiveTwo[[#This Row],[Date]],SGDJPY[Date],SGDJPY[Change %])</f>
        <v>7.8588353296895816E-4</v>
      </c>
      <c r="E33" s="5">
        <f ca="1">_xlfn.XLOOKUP(twoFiveTwo[[#This Row],[Date]],GBPUSD[Date],GBPUSD[Change %])</f>
        <v>-1.1789672247111977E-3</v>
      </c>
    </row>
    <row r="34" spans="1:5" x14ac:dyDescent="0.35">
      <c r="A34" s="1" vm="123">
        <v>45317</v>
      </c>
      <c r="B34" s="5">
        <f ca="1">_xlfn.XLOOKUP(twoFiveTwo[[#This Row],[Date]],USDJPY[Date],USDJPY[Change %])</f>
        <v>3.4541144598712555E-3</v>
      </c>
      <c r="C34" s="5">
        <f ca="1">_xlfn.XLOOKUP(twoFiveTwo[[#This Row],[Date]],EURUSD[Date],EURUSD[Change %])</f>
        <v>5.5319933616073563E-4</v>
      </c>
      <c r="D34" s="5">
        <f ca="1">_xlfn.XLOOKUP(twoFiveTwo[[#This Row],[Date]],SGDJPY[Date],SGDJPY[Change %])</f>
        <v>2.5564279729141863E-3</v>
      </c>
      <c r="E34" s="5">
        <f ca="1">_xlfn.XLOOKUP(twoFiveTwo[[#This Row],[Date]],GBPUSD[Date],GBPUSD[Change %])</f>
        <v>-4.7214353163356465E-4</v>
      </c>
    </row>
    <row r="35" spans="1:5" x14ac:dyDescent="0.35">
      <c r="A35" s="1" vm="124">
        <v>45320</v>
      </c>
      <c r="B35" s="5">
        <f ca="1">_xlfn.XLOOKUP(twoFiveTwo[[#This Row],[Date]],USDJPY[Date],USDJPY[Change %])</f>
        <v>-4.5221382289416003E-3</v>
      </c>
      <c r="C35" s="5">
        <f ca="1">_xlfn.XLOOKUP(twoFiveTwo[[#This Row],[Date]],EURUSD[Date],EURUSD[Change %])</f>
        <v>-1.7508293402137974E-3</v>
      </c>
      <c r="D35" s="5">
        <f ca="1">_xlfn.XLOOKUP(twoFiveTwo[[#This Row],[Date]],SGDJPY[Date],SGDJPY[Change %])</f>
        <v>-3.6310853504268677E-3</v>
      </c>
      <c r="E35" s="5">
        <f ca="1">_xlfn.XLOOKUP(twoFiveTwo[[#This Row],[Date]],GBPUSD[Date],GBPUSD[Change %])</f>
        <v>3.9363879703979292E-4</v>
      </c>
    </row>
    <row r="36" spans="1:5" x14ac:dyDescent="0.35">
      <c r="A36" s="1" vm="125">
        <v>45321</v>
      </c>
      <c r="B36" s="5">
        <f ca="1">_xlfn.XLOOKUP(twoFiveTwo[[#This Row],[Date]],USDJPY[Date],USDJPY[Change %])</f>
        <v>7.4581327547620327E-4</v>
      </c>
      <c r="C36" s="5">
        <f ca="1">_xlfn.XLOOKUP(twoFiveTwo[[#This Row],[Date]],EURUSD[Date],EURUSD[Change %])</f>
        <v>6.4617372842254688E-4</v>
      </c>
      <c r="D36" s="5">
        <f ca="1">_xlfn.XLOOKUP(twoFiveTwo[[#This Row],[Date]],SGDJPY[Date],SGDJPY[Change %])</f>
        <v>1.4931707658429891E-3</v>
      </c>
      <c r="E36" s="5">
        <f ca="1">_xlfn.XLOOKUP(twoFiveTwo[[#This Row],[Date]],GBPUSD[Date],GBPUSD[Change %])</f>
        <v>-7.8696781301636101E-4</v>
      </c>
    </row>
    <row r="37" spans="1:5" x14ac:dyDescent="0.35">
      <c r="A37" s="1" vm="126">
        <v>45322</v>
      </c>
      <c r="B37" s="5">
        <f ca="1">_xlfn.XLOOKUP(twoFiveTwo[[#This Row],[Date]],USDJPY[Date],USDJPY[Change %])</f>
        <v>-4.8780487804877971E-3</v>
      </c>
      <c r="C37" s="5">
        <f ca="1">_xlfn.XLOOKUP(twoFiveTwo[[#This Row],[Date]],EURUSD[Date],EURUSD[Change %])</f>
        <v>-2.2140221402215678E-3</v>
      </c>
      <c r="D37" s="5">
        <f ca="1">_xlfn.XLOOKUP(twoFiveTwo[[#This Row],[Date]],SGDJPY[Date],SGDJPY[Change %])</f>
        <v>-5.6207610623002363E-3</v>
      </c>
      <c r="E37" s="5">
        <f ca="1">_xlfn.XLOOKUP(twoFiveTwo[[#This Row],[Date]],GBPUSD[Date],GBPUSD[Change %])</f>
        <v>-9.4510514294722362E-4</v>
      </c>
    </row>
    <row r="38" spans="1:5" x14ac:dyDescent="0.35">
      <c r="A38" s="1" vm="127">
        <v>45323</v>
      </c>
      <c r="B38" s="5">
        <f ca="1">_xlfn.XLOOKUP(twoFiveTwo[[#This Row],[Date]],USDJPY[Date],USDJPY[Change %])</f>
        <v>-3.1318082788671566E-3</v>
      </c>
      <c r="C38" s="5">
        <f ca="1">_xlfn.XLOOKUP(twoFiveTwo[[#This Row],[Date]],EURUSD[Date],EURUSD[Change %])</f>
        <v>5.1775147928994547E-3</v>
      </c>
      <c r="D38" s="5">
        <f ca="1">_xlfn.XLOOKUP(twoFiveTwo[[#This Row],[Date]],SGDJPY[Date],SGDJPY[Change %])</f>
        <v>-4.4077708178192184E-4</v>
      </c>
      <c r="E38" s="5">
        <f ca="1">_xlfn.XLOOKUP(twoFiveTwo[[#This Row],[Date]],GBPUSD[Date],GBPUSD[Change %])</f>
        <v>4.4934962554198177E-3</v>
      </c>
    </row>
    <row r="39" spans="1:5" x14ac:dyDescent="0.35">
      <c r="A39" s="1" vm="128">
        <v>45324</v>
      </c>
      <c r="B39" s="5">
        <f ca="1">_xlfn.XLOOKUP(twoFiveTwo[[#This Row],[Date]],USDJPY[Date],USDJPY[Change %])</f>
        <v>1.3317852752356352E-2</v>
      </c>
      <c r="C39" s="5">
        <f ca="1">_xlfn.XLOOKUP(twoFiveTwo[[#This Row],[Date]],EURUSD[Date],EURUSD[Change %])</f>
        <v>-8.0941869021338483E-3</v>
      </c>
      <c r="D39" s="5">
        <f ca="1">_xlfn.XLOOKUP(twoFiveTwo[[#This Row],[Date]],SGDJPY[Date],SGDJPY[Change %])</f>
        <v>9.0093297873020516E-3</v>
      </c>
      <c r="E39" s="5">
        <f ca="1">_xlfn.XLOOKUP(twoFiveTwo[[#This Row],[Date]],GBPUSD[Date],GBPUSD[Change %])</f>
        <v>-8.789828912258749E-3</v>
      </c>
    </row>
    <row r="40" spans="1:5" x14ac:dyDescent="0.35">
      <c r="A40" s="1" vm="129">
        <v>45327</v>
      </c>
      <c r="B40" s="5">
        <f ca="1">_xlfn.XLOOKUP(twoFiveTwo[[#This Row],[Date]],USDJPY[Date],USDJPY[Change %])</f>
        <v>2.0219720967849493E-3</v>
      </c>
      <c r="C40" s="5">
        <f ca="1">_xlfn.XLOOKUP(twoFiveTwo[[#This Row],[Date]],EURUSD[Date],EURUSD[Change %])</f>
        <v>-3.9873887240355812E-3</v>
      </c>
      <c r="D40" s="5">
        <f ca="1">_xlfn.XLOOKUP(twoFiveTwo[[#This Row],[Date]],SGDJPY[Date],SGDJPY[Change %])</f>
        <v>-1.4739720424873806E-3</v>
      </c>
      <c r="E40" s="5">
        <f ca="1">_xlfn.XLOOKUP(twoFiveTwo[[#This Row],[Date]],GBPUSD[Date],GBPUSD[Change %])</f>
        <v>-7.7593032462389628E-3</v>
      </c>
    </row>
    <row r="41" spans="1:5" x14ac:dyDescent="0.35">
      <c r="A41" s="1" vm="130">
        <v>45328</v>
      </c>
      <c r="B41" s="5">
        <f ca="1">_xlfn.XLOOKUP(twoFiveTwo[[#This Row],[Date]],USDJPY[Date],USDJPY[Change %])</f>
        <v>-4.9102038070894588E-3</v>
      </c>
      <c r="C41" s="5">
        <f ca="1">_xlfn.XLOOKUP(twoFiveTwo[[#This Row],[Date]],EURUSD[Date],EURUSD[Change %])</f>
        <v>1.2103156130712752E-3</v>
      </c>
      <c r="D41" s="5">
        <f ca="1">_xlfn.XLOOKUP(twoFiveTwo[[#This Row],[Date]],SGDJPY[Date],SGDJPY[Change %])</f>
        <v>-2.6152011511959825E-3</v>
      </c>
      <c r="E41" s="5">
        <f ca="1">_xlfn.XLOOKUP(twoFiveTwo[[#This Row],[Date]],GBPUSD[Date],GBPUSD[Change %])</f>
        <v>5.1867219917012047E-3</v>
      </c>
    </row>
    <row r="42" spans="1:5" x14ac:dyDescent="0.35">
      <c r="A42" s="1" vm="131">
        <v>45329</v>
      </c>
      <c r="B42" s="5">
        <f ca="1">_xlfn.XLOOKUP(twoFiveTwo[[#This Row],[Date]],USDJPY[Date],USDJPY[Change %])</f>
        <v>1.6222793024199614E-3</v>
      </c>
      <c r="C42" s="5">
        <f ca="1">_xlfn.XLOOKUP(twoFiveTwo[[#This Row],[Date]],EURUSD[Date],EURUSD[Change %])</f>
        <v>1.580807141528766E-3</v>
      </c>
      <c r="D42" s="5">
        <f ca="1">_xlfn.XLOOKUP(twoFiveTwo[[#This Row],[Date]],SGDJPY[Date],SGDJPY[Change %])</f>
        <v>1.9951629110480764E-3</v>
      </c>
      <c r="E42" s="5">
        <f ca="1">_xlfn.XLOOKUP(twoFiveTwo[[#This Row],[Date]],GBPUSD[Date],GBPUSD[Change %])</f>
        <v>2.2227514487575721E-3</v>
      </c>
    </row>
    <row r="43" spans="1:5" x14ac:dyDescent="0.35">
      <c r="A43" s="1" vm="132">
        <v>45330</v>
      </c>
      <c r="B43" s="5">
        <f ca="1">_xlfn.XLOOKUP(twoFiveTwo[[#This Row],[Date]],USDJPY[Date],USDJPY[Change %])</f>
        <v>7.625860440005368E-3</v>
      </c>
      <c r="C43" s="5">
        <f ca="1">_xlfn.XLOOKUP(twoFiveTwo[[#This Row],[Date]],EURUSD[Date],EURUSD[Change %])</f>
        <v>4.6420945130437748E-4</v>
      </c>
      <c r="D43" s="5">
        <f ca="1">_xlfn.XLOOKUP(twoFiveTwo[[#This Row],[Date]],SGDJPY[Date],SGDJPY[Change %])</f>
        <v>4.8582863795702527E-3</v>
      </c>
      <c r="E43" s="5">
        <f ca="1">_xlfn.XLOOKUP(twoFiveTwo[[#This Row],[Date]],GBPUSD[Date],GBPUSD[Change %])</f>
        <v>-7.1287128712863436E-4</v>
      </c>
    </row>
    <row r="44" spans="1:5" x14ac:dyDescent="0.35">
      <c r="A44" s="1" vm="133">
        <v>45331</v>
      </c>
      <c r="B44" s="5">
        <f ca="1">_xlfn.XLOOKUP(twoFiveTwo[[#This Row],[Date]],USDJPY[Date],USDJPY[Change %])</f>
        <v>-6.6974750518993402E-5</v>
      </c>
      <c r="C44" s="5">
        <f ca="1">_xlfn.XLOOKUP(twoFiveTwo[[#This Row],[Date]],EURUSD[Date],EURUSD[Change %])</f>
        <v>5.5679287305136977E-4</v>
      </c>
      <c r="D44" s="5">
        <f ca="1">_xlfn.XLOOKUP(twoFiveTwo[[#This Row],[Date]],SGDJPY[Date],SGDJPY[Change %])</f>
        <v>6.0186822785447344E-4</v>
      </c>
      <c r="E44" s="5">
        <f ca="1">_xlfn.XLOOKUP(twoFiveTwo[[#This Row],[Date]],GBPUSD[Date],GBPUSD[Change %])</f>
        <v>2.3779327837663834E-4</v>
      </c>
    </row>
    <row r="45" spans="1:5" x14ac:dyDescent="0.35">
      <c r="A45" s="1" vm="134">
        <v>45334</v>
      </c>
      <c r="B45" s="5">
        <f ca="1">_xlfn.XLOOKUP(twoFiveTwo[[#This Row],[Date]],USDJPY[Date],USDJPY[Change %])</f>
        <v>2.6791694574676518E-4</v>
      </c>
      <c r="C45" s="5">
        <f ca="1">_xlfn.XLOOKUP(twoFiveTwo[[#This Row],[Date]],EURUSD[Date],EURUSD[Change %])</f>
        <v>-1.0202188833241521E-3</v>
      </c>
      <c r="D45" s="5">
        <f ca="1">_xlfn.XLOOKUP(twoFiveTwo[[#This Row],[Date]],SGDJPY[Date],SGDJPY[Change %])</f>
        <v>1.3094257915397987E-3</v>
      </c>
      <c r="E45" s="5">
        <f ca="1">_xlfn.XLOOKUP(twoFiveTwo[[#This Row],[Date]],GBPUSD[Date],GBPUSD[Change %])</f>
        <v>5.5471907441154047E-4</v>
      </c>
    </row>
    <row r="46" spans="1:5" x14ac:dyDescent="0.35">
      <c r="A46" s="1" vm="135">
        <v>45335</v>
      </c>
      <c r="B46" s="5">
        <f ca="1">_xlfn.XLOOKUP(twoFiveTwo[[#This Row],[Date]],USDJPY[Date],USDJPY[Change %])</f>
        <v>9.7093879737510953E-3</v>
      </c>
      <c r="C46" s="5">
        <f ca="1">_xlfn.XLOOKUP(twoFiveTwo[[#This Row],[Date]],EURUSD[Date],EURUSD[Change %])</f>
        <v>-5.7561971961748986E-3</v>
      </c>
      <c r="D46" s="5">
        <f ca="1">_xlfn.XLOOKUP(twoFiveTwo[[#This Row],[Date]],SGDJPY[Date],SGDJPY[Change %])</f>
        <v>5.0011933335435028E-3</v>
      </c>
      <c r="E46" s="5">
        <f ca="1">_xlfn.XLOOKUP(twoFiveTwo[[#This Row],[Date]],GBPUSD[Date],GBPUSD[Change %])</f>
        <v>-2.9304609535878638E-3</v>
      </c>
    </row>
    <row r="47" spans="1:5" x14ac:dyDescent="0.35">
      <c r="A47" s="1" vm="136">
        <v>45336</v>
      </c>
      <c r="B47" s="5">
        <f ca="1">_xlfn.XLOOKUP(twoFiveTwo[[#This Row],[Date]],USDJPY[Date],USDJPY[Change %])</f>
        <v>-1.5916174812652078E-3</v>
      </c>
      <c r="C47" s="5">
        <f ca="1">_xlfn.XLOOKUP(twoFiveTwo[[#This Row],[Date]],EURUSD[Date],EURUSD[Change %])</f>
        <v>1.4940704080680231E-3</v>
      </c>
      <c r="D47" s="5">
        <f ca="1">_xlfn.XLOOKUP(twoFiveTwo[[#This Row],[Date]],SGDJPY[Date],SGDJPY[Change %])</f>
        <v>5.4844213756218788E-4</v>
      </c>
      <c r="E47" s="5">
        <f ca="1">_xlfn.XLOOKUP(twoFiveTwo[[#This Row],[Date]],GBPUSD[Date],GBPUSD[Change %])</f>
        <v>-1.9064262451346078E-3</v>
      </c>
    </row>
    <row r="48" spans="1:5" x14ac:dyDescent="0.35">
      <c r="A48" s="1" vm="137">
        <v>45337</v>
      </c>
      <c r="B48" s="5">
        <f ca="1">_xlfn.XLOOKUP(twoFiveTwo[[#This Row],[Date]],USDJPY[Date],USDJPY[Change %])</f>
        <v>-4.2510793756228146E-3</v>
      </c>
      <c r="C48" s="5">
        <f ca="1">_xlfn.XLOOKUP(twoFiveTwo[[#This Row],[Date]],EURUSD[Date],EURUSD[Change %])</f>
        <v>4.2890442890442309E-3</v>
      </c>
      <c r="D48" s="5">
        <f ca="1">_xlfn.XLOOKUP(twoFiveTwo[[#This Row],[Date]],SGDJPY[Date],SGDJPY[Change %])</f>
        <v>-2.2454097626512228E-3</v>
      </c>
      <c r="E48" s="5">
        <f ca="1">_xlfn.XLOOKUP(twoFiveTwo[[#This Row],[Date]],GBPUSD[Date],GBPUSD[Change %])</f>
        <v>2.7855153203343087E-3</v>
      </c>
    </row>
    <row r="49" spans="1:5" x14ac:dyDescent="0.35">
      <c r="A49" s="1" vm="138">
        <v>45338</v>
      </c>
      <c r="B49" s="5">
        <f ca="1">_xlfn.XLOOKUP(twoFiveTwo[[#This Row],[Date]],USDJPY[Date],USDJPY[Change %])</f>
        <v>2.0012007204323352E-3</v>
      </c>
      <c r="C49" s="5">
        <f ca="1">_xlfn.XLOOKUP(twoFiveTwo[[#This Row],[Date]],EURUSD[Date],EURUSD[Change %])</f>
        <v>2.785256707826265E-4</v>
      </c>
      <c r="D49" s="5">
        <f ca="1">_xlfn.XLOOKUP(twoFiveTwo[[#This Row],[Date]],SGDJPY[Date],SGDJPY[Change %])</f>
        <v>1.5547673997952274E-3</v>
      </c>
      <c r="E49" s="5">
        <f ca="1">_xlfn.XLOOKUP(twoFiveTwo[[#This Row],[Date]],GBPUSD[Date],GBPUSD[Change %])</f>
        <v>-1.5873015873014125E-4</v>
      </c>
    </row>
    <row r="50" spans="1:5" x14ac:dyDescent="0.35">
      <c r="A50" s="1" vm="139">
        <v>45341</v>
      </c>
      <c r="B50" s="5">
        <f ca="1">_xlfn.XLOOKUP(twoFiveTwo[[#This Row],[Date]],USDJPY[Date],USDJPY[Change %])</f>
        <v>-6.6573463817318624E-4</v>
      </c>
      <c r="C50" s="5">
        <f ca="1">_xlfn.XLOOKUP(twoFiveTwo[[#This Row],[Date]],EURUSD[Date],EURUSD[Change %])</f>
        <v>2.7844811583459163E-4</v>
      </c>
      <c r="D50" s="5">
        <f ca="1">_xlfn.XLOOKUP(twoFiveTwo[[#This Row],[Date]],SGDJPY[Date],SGDJPY[Change %])</f>
        <v>-5.1804880234825154E-4</v>
      </c>
      <c r="E50" s="5">
        <f ca="1">_xlfn.XLOOKUP(twoFiveTwo[[#This Row],[Date]],GBPUSD[Date],GBPUSD[Change %])</f>
        <v>-3.9688839498328699E-4</v>
      </c>
    </row>
    <row r="51" spans="1:5" x14ac:dyDescent="0.35">
      <c r="A51" s="1" vm="140">
        <v>45342</v>
      </c>
      <c r="B51" s="5">
        <f ca="1">_xlfn.XLOOKUP(twoFiveTwo[[#This Row],[Date]],USDJPY[Date],USDJPY[Change %])</f>
        <v>-7.9941376324032067E-4</v>
      </c>
      <c r="C51" s="5">
        <f ca="1">_xlfn.XLOOKUP(twoFiveTwo[[#This Row],[Date]],EURUSD[Date],EURUSD[Change %])</f>
        <v>2.4125452352231004E-3</v>
      </c>
      <c r="D51" s="5">
        <f ca="1">_xlfn.XLOOKUP(twoFiveTwo[[#This Row],[Date]],SGDJPY[Date],SGDJPY[Change %])</f>
        <v>9.8552029463376675E-4</v>
      </c>
      <c r="E51" s="5">
        <f ca="1">_xlfn.XLOOKUP(twoFiveTwo[[#This Row],[Date]],GBPUSD[Date],GBPUSD[Change %])</f>
        <v>1.9852298896211756E-3</v>
      </c>
    </row>
    <row r="52" spans="1:5" x14ac:dyDescent="0.35">
      <c r="A52" s="1" vm="141">
        <v>45343</v>
      </c>
      <c r="B52" s="5">
        <f ca="1">_xlfn.XLOOKUP(twoFiveTwo[[#This Row],[Date]],USDJPY[Date],USDJPY[Change %])</f>
        <v>1.9334622308153345E-3</v>
      </c>
      <c r="C52" s="5">
        <f ca="1">_xlfn.XLOOKUP(twoFiveTwo[[#This Row],[Date]],EURUSD[Date],EURUSD[Change %])</f>
        <v>1.2959363139869182E-3</v>
      </c>
      <c r="D52" s="5">
        <f ca="1">_xlfn.XLOOKUP(twoFiveTwo[[#This Row],[Date]],SGDJPY[Date],SGDJPY[Change %])</f>
        <v>1.5605878990831682E-3</v>
      </c>
      <c r="E52" s="5">
        <f ca="1">_xlfn.XLOOKUP(twoFiveTwo[[#This Row],[Date]],GBPUSD[Date],GBPUSD[Change %])</f>
        <v>1.2680297987003057E-3</v>
      </c>
    </row>
    <row r="53" spans="1:5" x14ac:dyDescent="0.35">
      <c r="A53" s="1" vm="142">
        <v>45344</v>
      </c>
      <c r="B53" s="5">
        <f ca="1">_xlfn.XLOOKUP(twoFiveTwo[[#This Row],[Date]],USDJPY[Date],USDJPY[Change %])</f>
        <v>1.5304764439711856E-3</v>
      </c>
      <c r="C53" s="5">
        <f ca="1">_xlfn.XLOOKUP(twoFiveTwo[[#This Row],[Date]],EURUSD[Date],EURUSD[Change %])</f>
        <v>5.5468244430057672E-4</v>
      </c>
      <c r="D53" s="5">
        <f ca="1">_xlfn.XLOOKUP(twoFiveTwo[[#This Row],[Date]],SGDJPY[Date],SGDJPY[Change %])</f>
        <v>2.2764108380411334E-3</v>
      </c>
      <c r="E53" s="5">
        <f ca="1">_xlfn.XLOOKUP(twoFiveTwo[[#This Row],[Date]],GBPUSD[Date],GBPUSD[Change %])</f>
        <v>1.9787873990818002E-3</v>
      </c>
    </row>
    <row r="54" spans="1:5" x14ac:dyDescent="0.35">
      <c r="A54" s="1" vm="143">
        <v>45345</v>
      </c>
      <c r="B54" s="5">
        <f ca="1">_xlfn.XLOOKUP(twoFiveTwo[[#This Row],[Date]],USDJPY[Date],USDJPY[Change %])</f>
        <v>-6.6440768055218296E-5</v>
      </c>
      <c r="C54" s="5">
        <f ca="1">_xlfn.XLOOKUP(twoFiveTwo[[#This Row],[Date]],EURUSD[Date],EURUSD[Change %])</f>
        <v>-4.6197911854379094E-4</v>
      </c>
      <c r="D54" s="5">
        <f ca="1">_xlfn.XLOOKUP(twoFiveTwo[[#This Row],[Date]],SGDJPY[Date],SGDJPY[Change %])</f>
        <v>-2.1507621819250321E-4</v>
      </c>
      <c r="E54" s="5">
        <f ca="1">_xlfn.XLOOKUP(twoFiveTwo[[#This Row],[Date]],GBPUSD[Date],GBPUSD[Change %])</f>
        <v>1.5799036258788229E-3</v>
      </c>
    </row>
    <row r="55" spans="1:5" x14ac:dyDescent="0.35">
      <c r="A55" s="1" vm="144">
        <v>45348</v>
      </c>
      <c r="B55" s="5">
        <f ca="1">_xlfn.XLOOKUP(twoFiveTwo[[#This Row],[Date]],USDJPY[Date],USDJPY[Change %])</f>
        <v>1.2624584717607823E-3</v>
      </c>
      <c r="C55" s="5">
        <f ca="1">_xlfn.XLOOKUP(twoFiveTwo[[#This Row],[Date]],EURUSD[Date],EURUSD[Change %])</f>
        <v>2.6807173229801279E-3</v>
      </c>
      <c r="D55" s="5">
        <f ca="1">_xlfn.XLOOKUP(twoFiveTwo[[#This Row],[Date]],SGDJPY[Date],SGDJPY[Change %])</f>
        <v>4.3470809396118721E-4</v>
      </c>
      <c r="E55" s="5">
        <f ca="1">_xlfn.XLOOKUP(twoFiveTwo[[#This Row],[Date]],GBPUSD[Date],GBPUSD[Change %])</f>
        <v>2.3661172016717954E-4</v>
      </c>
    </row>
    <row r="56" spans="1:5" x14ac:dyDescent="0.35">
      <c r="A56" s="1" vm="145">
        <v>45349</v>
      </c>
      <c r="B56" s="5">
        <f ca="1">_xlfn.XLOOKUP(twoFiveTwo[[#This Row],[Date]],USDJPY[Date],USDJPY[Change %])</f>
        <v>-1.2608666799389324E-3</v>
      </c>
      <c r="C56" s="5">
        <f ca="1">_xlfn.XLOOKUP(twoFiveTwo[[#This Row],[Date]],EURUSD[Date],EURUSD[Change %])</f>
        <v>-2.7657416797268087E-4</v>
      </c>
      <c r="D56" s="5">
        <f ca="1">_xlfn.XLOOKUP(twoFiveTwo[[#This Row],[Date]],SGDJPY[Date],SGDJPY[Change %])</f>
        <v>-1.1036966252936527E-3</v>
      </c>
      <c r="E56" s="5">
        <f ca="1">_xlfn.XLOOKUP(twoFiveTwo[[#This Row],[Date]],GBPUSD[Date],GBPUSD[Change %])</f>
        <v>7.8851916101552589E-5</v>
      </c>
    </row>
    <row r="57" spans="1:5" x14ac:dyDescent="0.35">
      <c r="A57" s="1" vm="146">
        <v>45350</v>
      </c>
      <c r="B57" s="5">
        <f ca="1">_xlfn.XLOOKUP(twoFiveTwo[[#This Row],[Date]],USDJPY[Date],USDJPY[Change %])</f>
        <v>1.1295681063122093E-3</v>
      </c>
      <c r="C57" s="5">
        <f ca="1">_xlfn.XLOOKUP(twoFiveTwo[[#This Row],[Date]],EURUSD[Date],EURUSD[Change %])</f>
        <v>-7.3773515308016779E-4</v>
      </c>
      <c r="D57" s="5">
        <f ca="1">_xlfn.XLOOKUP(twoFiveTwo[[#This Row],[Date]],SGDJPY[Date],SGDJPY[Change %])</f>
        <v>-2.2509204656902655E-4</v>
      </c>
      <c r="E57" s="5">
        <f ca="1">_xlfn.XLOOKUP(twoFiveTwo[[#This Row],[Date]],GBPUSD[Date],GBPUSD[Change %])</f>
        <v>-1.7346053772766537E-3</v>
      </c>
    </row>
    <row r="58" spans="1:5" x14ac:dyDescent="0.35">
      <c r="A58" s="1" vm="147">
        <v>45351</v>
      </c>
      <c r="B58" s="5">
        <f ca="1">_xlfn.XLOOKUP(twoFiveTwo[[#This Row],[Date]],USDJPY[Date],USDJPY[Change %])</f>
        <v>-4.5795447003384735E-3</v>
      </c>
      <c r="C58" s="5">
        <f ca="1">_xlfn.XLOOKUP(twoFiveTwo[[#This Row],[Date]],EURUSD[Date],EURUSD[Change %])</f>
        <v>-3.0454042081947755E-3</v>
      </c>
      <c r="D58" s="5">
        <f ca="1">_xlfn.XLOOKUP(twoFiveTwo[[#This Row],[Date]],SGDJPY[Date],SGDJPY[Change %])</f>
        <v>-4.5636072867621729E-3</v>
      </c>
      <c r="E58" s="5">
        <f ca="1">_xlfn.XLOOKUP(twoFiveTwo[[#This Row],[Date]],GBPUSD[Date],GBPUSD[Change %])</f>
        <v>-3.0013427059474179E-3</v>
      </c>
    </row>
    <row r="59" spans="1:5" x14ac:dyDescent="0.35">
      <c r="A59" s="1" vm="148">
        <v>45352</v>
      </c>
      <c r="B59" s="5">
        <f ca="1">_xlfn.XLOOKUP(twoFiveTwo[[#This Row],[Date]],USDJPY[Date],USDJPY[Change %])</f>
        <v>8.6678223763184343E-4</v>
      </c>
      <c r="C59" s="5">
        <f ca="1">_xlfn.XLOOKUP(twoFiveTwo[[#This Row],[Date]],EURUSD[Date],EURUSD[Change %])</f>
        <v>3.1472739053967132E-3</v>
      </c>
      <c r="D59" s="5">
        <f ca="1">_xlfn.XLOOKUP(twoFiveTwo[[#This Row],[Date]],SGDJPY[Date],SGDJPY[Change %])</f>
        <v>1.9826204336454937E-3</v>
      </c>
      <c r="E59" s="5">
        <f ca="1">_xlfn.XLOOKUP(twoFiveTwo[[#This Row],[Date]],GBPUSD[Date],GBPUSD[Change %])</f>
        <v>2.1389527053790104E-3</v>
      </c>
    </row>
    <row r="60" spans="1:5" x14ac:dyDescent="0.35">
      <c r="A60" s="1" vm="149">
        <v>45355</v>
      </c>
      <c r="B60" s="5">
        <f ca="1">_xlfn.XLOOKUP(twoFiveTwo[[#This Row],[Date]],USDJPY[Date],USDJPY[Change %])</f>
        <v>2.6647125441341497E-3</v>
      </c>
      <c r="C60" s="5">
        <f ca="1">_xlfn.XLOOKUP(twoFiveTwo[[#This Row],[Date]],EURUSD[Date],EURUSD[Change %])</f>
        <v>1.5686998246745526E-3</v>
      </c>
      <c r="D60" s="5">
        <f ca="1">_xlfn.XLOOKUP(twoFiveTwo[[#This Row],[Date]],SGDJPY[Date],SGDJPY[Change %])</f>
        <v>3.4109913103922175E-3</v>
      </c>
      <c r="E60" s="5">
        <f ca="1">_xlfn.XLOOKUP(twoFiveTwo[[#This Row],[Date]],GBPUSD[Date],GBPUSD[Change %])</f>
        <v>3.1620553359683824E-3</v>
      </c>
    </row>
    <row r="61" spans="1:5" x14ac:dyDescent="0.35">
      <c r="A61" s="1" vm="150">
        <v>45356</v>
      </c>
      <c r="B61" s="5">
        <f ca="1">_xlfn.XLOOKUP(twoFiveTwo[[#This Row],[Date]],USDJPY[Date],USDJPY[Change %])</f>
        <v>-3.1227160985980926E-3</v>
      </c>
      <c r="C61" s="5">
        <f ca="1">_xlfn.XLOOKUP(twoFiveTwo[[#This Row],[Date]],EURUSD[Date],EURUSD[Change %])</f>
        <v>9.2131932927942692E-5</v>
      </c>
      <c r="D61" s="5">
        <f ca="1">_xlfn.XLOOKUP(twoFiveTwo[[#This Row],[Date]],SGDJPY[Date],SGDJPY[Change %])</f>
        <v>-2.6772028898437513E-3</v>
      </c>
      <c r="E61" s="5">
        <f ca="1">_xlfn.XLOOKUP(twoFiveTwo[[#This Row],[Date]],GBPUSD[Date],GBPUSD[Change %])</f>
        <v>1.0244286840032143E-3</v>
      </c>
    </row>
    <row r="62" spans="1:5" x14ac:dyDescent="0.35">
      <c r="A62" s="1" vm="151">
        <v>45357</v>
      </c>
      <c r="B62" s="5">
        <f ca="1">_xlfn.XLOOKUP(twoFiveTwo[[#This Row],[Date]],USDJPY[Date],USDJPY[Change %])</f>
        <v>-4.4654758731004236E-3</v>
      </c>
      <c r="C62" s="5">
        <f ca="1">_xlfn.XLOOKUP(twoFiveTwo[[#This Row],[Date]],EURUSD[Date],EURUSD[Change %])</f>
        <v>3.8691847075080442E-3</v>
      </c>
      <c r="D62" s="5">
        <f ca="1">_xlfn.XLOOKUP(twoFiveTwo[[#This Row],[Date]],SGDJPY[Date],SGDJPY[Change %])</f>
        <v>-1.4169351951306571E-3</v>
      </c>
      <c r="E62" s="5">
        <f ca="1">_xlfn.XLOOKUP(twoFiveTwo[[#This Row],[Date]],GBPUSD[Date],GBPUSD[Change %])</f>
        <v>2.0467606077304067E-3</v>
      </c>
    </row>
    <row r="63" spans="1:5" x14ac:dyDescent="0.35">
      <c r="A63" s="1" vm="152">
        <v>45358</v>
      </c>
      <c r="B63" s="5">
        <f ca="1">_xlfn.XLOOKUP(twoFiveTwo[[#This Row],[Date]],USDJPY[Date],USDJPY[Change %])</f>
        <v>-8.9710115819776615E-3</v>
      </c>
      <c r="C63" s="5">
        <f ca="1">_xlfn.XLOOKUP(twoFiveTwo[[#This Row],[Date]],EURUSD[Date],EURUSD[Change %])</f>
        <v>4.4966504542535805E-3</v>
      </c>
      <c r="D63" s="5">
        <f ca="1">_xlfn.XLOOKUP(twoFiveTwo[[#This Row],[Date]],SGDJPY[Date],SGDJPY[Change %])</f>
        <v>-4.8081017051550884E-3</v>
      </c>
      <c r="E63" s="5">
        <f ca="1">_xlfn.XLOOKUP(twoFiveTwo[[#This Row],[Date]],GBPUSD[Date],GBPUSD[Change %])</f>
        <v>6.0491790399874621E-3</v>
      </c>
    </row>
    <row r="64" spans="1:5" x14ac:dyDescent="0.35">
      <c r="A64" s="1" vm="153">
        <v>45359</v>
      </c>
      <c r="B64" s="5">
        <f ca="1">_xlfn.XLOOKUP(twoFiveTwo[[#This Row],[Date]],USDJPY[Date],USDJPY[Change %])</f>
        <v>-6.4851719246099299E-3</v>
      </c>
      <c r="C64" s="5">
        <f ca="1">_xlfn.XLOOKUP(twoFiveTwo[[#This Row],[Date]],EURUSD[Date],EURUSD[Change %])</f>
        <v>-8.2221816188573257E-4</v>
      </c>
      <c r="D64" s="5">
        <f ca="1">_xlfn.XLOOKUP(twoFiveTwo[[#This Row],[Date]],SGDJPY[Date],SGDJPY[Change %])</f>
        <v>-5.142071221604397E-3</v>
      </c>
      <c r="E64" s="5">
        <f ca="1">_xlfn.XLOOKUP(twoFiveTwo[[#This Row],[Date]],GBPUSD[Date],GBPUSD[Change %])</f>
        <v>3.9825081992816685E-3</v>
      </c>
    </row>
    <row r="65" spans="1:5" x14ac:dyDescent="0.35">
      <c r="A65" s="1" vm="154">
        <v>45362</v>
      </c>
      <c r="B65" s="5">
        <f ca="1">_xlfn.XLOOKUP(twoFiveTwo[[#This Row],[Date]],USDJPY[Date],USDJPY[Change %])</f>
        <v>-8.8393282110556508E-4</v>
      </c>
      <c r="C65" s="5">
        <f ca="1">_xlfn.XLOOKUP(twoFiveTwo[[#This Row],[Date]],EURUSD[Date],EURUSD[Change %])</f>
        <v>-1.0057602633262129E-3</v>
      </c>
      <c r="D65" s="5">
        <f ca="1">_xlfn.XLOOKUP(twoFiveTwo[[#This Row],[Date]],SGDJPY[Date],SGDJPY[Change %])</f>
        <v>-5.7942463134230106E-5</v>
      </c>
      <c r="E65" s="5">
        <f ca="1">_xlfn.XLOOKUP(twoFiveTwo[[#This Row],[Date]],GBPUSD[Date],GBPUSD[Change %])</f>
        <v>-3.500038889321125E-3</v>
      </c>
    </row>
    <row r="66" spans="1:5" x14ac:dyDescent="0.35">
      <c r="A66" s="1" vm="155">
        <v>45363</v>
      </c>
      <c r="B66" s="5">
        <f ca="1">_xlfn.XLOOKUP(twoFiveTwo[[#This Row],[Date]],USDJPY[Date],USDJPY[Change %])</f>
        <v>5.0360691438683077E-3</v>
      </c>
      <c r="C66" s="5">
        <f ca="1">_xlfn.XLOOKUP(twoFiveTwo[[#This Row],[Date]],EURUSD[Date],EURUSD[Change %])</f>
        <v>-1.8304960644332599E-4</v>
      </c>
      <c r="D66" s="5">
        <f ca="1">_xlfn.XLOOKUP(twoFiveTwo[[#This Row],[Date]],SGDJPY[Date],SGDJPY[Change %])</f>
        <v>3.1652904534261324E-3</v>
      </c>
      <c r="E66" s="5">
        <f ca="1">_xlfn.XLOOKUP(twoFiveTwo[[#This Row],[Date]],GBPUSD[Date],GBPUSD[Change %])</f>
        <v>-1.6390883546674921E-3</v>
      </c>
    </row>
    <row r="67" spans="1:5" x14ac:dyDescent="0.35">
      <c r="A67" s="1" vm="156">
        <v>45364</v>
      </c>
      <c r="B67" s="5">
        <f ca="1">_xlfn.XLOOKUP(twoFiveTwo[[#This Row],[Date]],USDJPY[Date],USDJPY[Change %])</f>
        <v>4.0628385698809774E-4</v>
      </c>
      <c r="C67" s="5">
        <f ca="1">_xlfn.XLOOKUP(twoFiveTwo[[#This Row],[Date]],EURUSD[Date],EURUSD[Change %])</f>
        <v>2.0139143170999447E-3</v>
      </c>
      <c r="D67" s="5">
        <f ca="1">_xlfn.XLOOKUP(twoFiveTwo[[#This Row],[Date]],SGDJPY[Date],SGDJPY[Change %])</f>
        <v>6.1734189188210667E-4</v>
      </c>
      <c r="E67" s="5">
        <f ca="1">_xlfn.XLOOKUP(twoFiveTwo[[#This Row],[Date]],GBPUSD[Date],GBPUSD[Change %])</f>
        <v>3.90899851458187E-4</v>
      </c>
    </row>
    <row r="68" spans="1:5" x14ac:dyDescent="0.35">
      <c r="A68" s="1" vm="157">
        <v>45365</v>
      </c>
      <c r="B68" s="5">
        <f ca="1">_xlfn.XLOOKUP(twoFiveTwo[[#This Row],[Date]],USDJPY[Date],USDJPY[Change %])</f>
        <v>3.925815622038609E-3</v>
      </c>
      <c r="C68" s="5">
        <f ca="1">_xlfn.XLOOKUP(twoFiveTwo[[#This Row],[Date]],EURUSD[Date],EURUSD[Change %])</f>
        <v>-5.9382422802849904E-3</v>
      </c>
      <c r="D68" s="5">
        <f ca="1">_xlfn.XLOOKUP(twoFiveTwo[[#This Row],[Date]],SGDJPY[Date],SGDJPY[Change %])</f>
        <v>1.3033752457921601E-3</v>
      </c>
      <c r="E68" s="5">
        <f ca="1">_xlfn.XLOOKUP(twoFiveTwo[[#This Row],[Date]],GBPUSD[Date],GBPUSD[Change %])</f>
        <v>-3.5167239762427089E-3</v>
      </c>
    </row>
    <row r="69" spans="1:5" x14ac:dyDescent="0.35">
      <c r="A69" s="1" vm="158">
        <v>45366</v>
      </c>
      <c r="B69" s="5">
        <f ca="1">_xlfn.XLOOKUP(twoFiveTwo[[#This Row],[Date]],USDJPY[Date],USDJPY[Change %])</f>
        <v>4.7195253505934271E-3</v>
      </c>
      <c r="C69" s="5">
        <f ca="1">_xlfn.XLOOKUP(twoFiveTwo[[#This Row],[Date]],EURUSD[Date],EURUSD[Change %])</f>
        <v>5.5141990625855522E-4</v>
      </c>
      <c r="D69" s="5">
        <f ca="1">_xlfn.XLOOKUP(twoFiveTwo[[#This Row],[Date]],SGDJPY[Date],SGDJPY[Change %])</f>
        <v>3.2852748163463221E-3</v>
      </c>
      <c r="E69" s="5">
        <f ca="1">_xlfn.XLOOKUP(twoFiveTwo[[#This Row],[Date]],GBPUSD[Date],GBPUSD[Change %])</f>
        <v>-9.4110265861490705E-4</v>
      </c>
    </row>
    <row r="70" spans="1:5" x14ac:dyDescent="0.35">
      <c r="A70" s="1" vm="159">
        <v>45369</v>
      </c>
      <c r="B70" s="5">
        <f ca="1">_xlfn.XLOOKUP(twoFiveTwo[[#This Row],[Date]],USDJPY[Date],USDJPY[Change %])</f>
        <v>8.0526103878657978E-4</v>
      </c>
      <c r="C70" s="5">
        <f ca="1">_xlfn.XLOOKUP(twoFiveTwo[[#This Row],[Date]],EURUSD[Date],EURUSD[Change %])</f>
        <v>-1.4696426931202773E-3</v>
      </c>
      <c r="D70" s="5">
        <f ca="1">_xlfn.XLOOKUP(twoFiveTwo[[#This Row],[Date]],SGDJPY[Date],SGDJPY[Change %])</f>
        <v>-9.9663120694851368E-5</v>
      </c>
      <c r="E70" s="5">
        <f ca="1">_xlfn.XLOOKUP(twoFiveTwo[[#This Row],[Date]],GBPUSD[Date],GBPUSD[Change %])</f>
        <v>-9.419891671246486E-4</v>
      </c>
    </row>
    <row r="71" spans="1:5" x14ac:dyDescent="0.35">
      <c r="A71" s="1" vm="160">
        <v>45370</v>
      </c>
      <c r="B71" s="5">
        <f ca="1">_xlfn.XLOOKUP(twoFiveTwo[[#This Row],[Date]],USDJPY[Date],USDJPY[Change %])</f>
        <v>1.1465736891511386E-2</v>
      </c>
      <c r="C71" s="5">
        <f ca="1">_xlfn.XLOOKUP(twoFiveTwo[[#This Row],[Date]],EURUSD[Date],EURUSD[Change %])</f>
        <v>-5.5192714561671781E-4</v>
      </c>
      <c r="D71" s="5">
        <f ca="1">_xlfn.XLOOKUP(twoFiveTwo[[#This Row],[Date]],SGDJPY[Date],SGDJPY[Change %])</f>
        <v>9.1375946108306141E-3</v>
      </c>
      <c r="E71" s="5">
        <f ca="1">_xlfn.XLOOKUP(twoFiveTwo[[#This Row],[Date]],GBPUSD[Date],GBPUSD[Change %])</f>
        <v>-5.5001178596678156E-4</v>
      </c>
    </row>
    <row r="72" spans="1:5" x14ac:dyDescent="0.35">
      <c r="A72" s="1" vm="161">
        <v>45371</v>
      </c>
      <c r="B72" s="5">
        <f ca="1">_xlfn.XLOOKUP(twoFiveTwo[[#This Row],[Date]],USDJPY[Date],USDJPY[Change %])</f>
        <v>2.6516407026848242E-3</v>
      </c>
      <c r="C72" s="5">
        <f ca="1">_xlfn.XLOOKUP(twoFiveTwo[[#This Row],[Date]],EURUSD[Date],EURUSD[Change %])</f>
        <v>4.8780487804878803E-3</v>
      </c>
      <c r="D72" s="5">
        <f ca="1">_xlfn.XLOOKUP(twoFiveTwo[[#This Row],[Date]],SGDJPY[Date],SGDJPY[Change %])</f>
        <v>4.5309868065708829E-3</v>
      </c>
      <c r="E72" s="5">
        <f ca="1">_xlfn.XLOOKUP(twoFiveTwo[[#This Row],[Date]],GBPUSD[Date],GBPUSD[Change %])</f>
        <v>5.0314465408804725E-3</v>
      </c>
    </row>
    <row r="73" spans="1:5" x14ac:dyDescent="0.35">
      <c r="A73" s="1" vm="162">
        <v>45372</v>
      </c>
      <c r="B73" s="5">
        <f ca="1">_xlfn.XLOOKUP(twoFiveTwo[[#This Row],[Date]],USDJPY[Date],USDJPY[Change %])</f>
        <v>2.3801652892562887E-3</v>
      </c>
      <c r="C73" s="5">
        <f ca="1">_xlfn.XLOOKUP(twoFiveTwo[[#This Row],[Date]],EURUSD[Date],EURUSD[Change %])</f>
        <v>-5.31232826525007E-3</v>
      </c>
      <c r="D73" s="5">
        <f ca="1">_xlfn.XLOOKUP(twoFiveTwo[[#This Row],[Date]],SGDJPY[Date],SGDJPY[Change %])</f>
        <v>-7.6002583024855058E-4</v>
      </c>
      <c r="E73" s="5">
        <f ca="1">_xlfn.XLOOKUP(twoFiveTwo[[#This Row],[Date]],GBPUSD[Date],GBPUSD[Change %])</f>
        <v>-1.0012515644555634E-2</v>
      </c>
    </row>
    <row r="74" spans="1:5" x14ac:dyDescent="0.35">
      <c r="A74" s="1" vm="163">
        <v>45373</v>
      </c>
      <c r="B74" s="5">
        <f ca="1">_xlfn.XLOOKUP(twoFiveTwo[[#This Row],[Date]],USDJPY[Date],USDJPY[Change %])</f>
        <v>-1.2532154871052446E-3</v>
      </c>
      <c r="C74" s="5">
        <f ca="1">_xlfn.XLOOKUP(twoFiveTwo[[#This Row],[Date]],EURUSD[Date],EURUSD[Change %])</f>
        <v>-5.064456721915341E-3</v>
      </c>
      <c r="D74" s="5">
        <f ca="1">_xlfn.XLOOKUP(twoFiveTwo[[#This Row],[Date]],SGDJPY[Date],SGDJPY[Change %])</f>
        <v>-4.8074067573185726E-3</v>
      </c>
      <c r="E74" s="5">
        <f ca="1">_xlfn.XLOOKUP(twoFiveTwo[[#This Row],[Date]],GBPUSD[Date],GBPUSD[Change %])</f>
        <v>-4.3457648546144593E-3</v>
      </c>
    </row>
    <row r="75" spans="1:5" x14ac:dyDescent="0.35">
      <c r="A75" s="1" vm="164">
        <v>45376</v>
      </c>
      <c r="B75" s="5">
        <f ca="1">_xlfn.XLOOKUP(twoFiveTwo[[#This Row],[Date]],USDJPY[Date],USDJPY[Change %])</f>
        <v>-6.6041474045640646E-5</v>
      </c>
      <c r="C75" s="5">
        <f ca="1">_xlfn.XLOOKUP(twoFiveTwo[[#This Row],[Date]],EURUSD[Date],EURUSD[Change %])</f>
        <v>2.8690421101340868E-3</v>
      </c>
      <c r="D75" s="5">
        <f ca="1">_xlfn.XLOOKUP(twoFiveTwo[[#This Row],[Date]],SGDJPY[Date],SGDJPY[Change %])</f>
        <v>1.715617283730664E-3</v>
      </c>
      <c r="E75" s="5">
        <f ca="1">_xlfn.XLOOKUP(twoFiveTwo[[#This Row],[Date]],GBPUSD[Date],GBPUSD[Change %])</f>
        <v>2.6188397746211259E-3</v>
      </c>
    </row>
    <row r="76" spans="1:5" x14ac:dyDescent="0.35">
      <c r="A76" s="1" vm="165">
        <v>45377</v>
      </c>
      <c r="B76" s="5">
        <f ca="1">_xlfn.XLOOKUP(twoFiveTwo[[#This Row],[Date]],USDJPY[Date],USDJPY[Change %])</f>
        <v>9.246417013408281E-4</v>
      </c>
      <c r="C76" s="5">
        <f ca="1">_xlfn.XLOOKUP(twoFiveTwo[[#This Row],[Date]],EURUSD[Date],EURUSD[Change %])</f>
        <v>-5.5370985603537648E-4</v>
      </c>
      <c r="D76" s="5">
        <f ca="1">_xlfn.XLOOKUP(twoFiveTwo[[#This Row],[Date]],SGDJPY[Date],SGDJPY[Change %])</f>
        <v>1.2965139957708423E-3</v>
      </c>
      <c r="E76" s="5">
        <f ca="1">_xlfn.XLOOKUP(twoFiveTwo[[#This Row],[Date]],GBPUSD[Date],GBPUSD[Change %])</f>
        <v>-7.1236346366956057E-4</v>
      </c>
    </row>
    <row r="77" spans="1:5" x14ac:dyDescent="0.35">
      <c r="A77" s="1" vm="166">
        <v>45378</v>
      </c>
      <c r="B77" s="5">
        <f ca="1">_xlfn.XLOOKUP(twoFiveTwo[[#This Row],[Date]],USDJPY[Date],USDJPY[Change %])</f>
        <v>-1.5176509402838546E-3</v>
      </c>
      <c r="C77" s="5">
        <f ca="1">_xlfn.XLOOKUP(twoFiveTwo[[#This Row],[Date]],EURUSD[Date],EURUSD[Change %])</f>
        <v>-3.6934441366570262E-4</v>
      </c>
      <c r="D77" s="5">
        <f ca="1">_xlfn.XLOOKUP(twoFiveTwo[[#This Row],[Date]],SGDJPY[Date],SGDJPY[Change %])</f>
        <v>-2.8507689083243533E-3</v>
      </c>
      <c r="E77" s="5">
        <f ca="1">_xlfn.XLOOKUP(twoFiveTwo[[#This Row],[Date]],GBPUSD[Date],GBPUSD[Change %])</f>
        <v>1.0297029702970922E-3</v>
      </c>
    </row>
    <row r="78" spans="1:5" x14ac:dyDescent="0.35">
      <c r="A78" s="1" vm="167">
        <v>45379</v>
      </c>
      <c r="B78" s="5">
        <f ca="1">_xlfn.XLOOKUP(twoFiveTwo[[#This Row],[Date]],USDJPY[Date],USDJPY[Change %])</f>
        <v>3.3042558815762207E-4</v>
      </c>
      <c r="C78" s="5">
        <f ca="1">_xlfn.XLOOKUP(twoFiveTwo[[#This Row],[Date]],EURUSD[Date],EURUSD[Change %])</f>
        <v>-3.602438573803819E-3</v>
      </c>
      <c r="D78" s="5">
        <f ca="1">_xlfn.XLOOKUP(twoFiveTwo[[#This Row],[Date]],SGDJPY[Date],SGDJPY[Change %])</f>
        <v>-1.7438515428365047E-3</v>
      </c>
      <c r="E78" s="5">
        <f ca="1">_xlfn.XLOOKUP(twoFiveTwo[[#This Row],[Date]],GBPUSD[Date],GBPUSD[Change %])</f>
        <v>-1.2660231049217011E-3</v>
      </c>
    </row>
    <row r="79" spans="1:5" x14ac:dyDescent="0.35">
      <c r="A79" s="1" vm="168">
        <v>45380</v>
      </c>
      <c r="B79" s="5">
        <f ca="1">_xlfn.XLOOKUP(twoFiveTwo[[#This Row],[Date]],USDJPY[Date],USDJPY[Change %])</f>
        <v>-3.9637973178306316E-4</v>
      </c>
      <c r="C79" s="5">
        <f ca="1">_xlfn.XLOOKUP(twoFiveTwo[[#This Row],[Date]],EURUSD[Date],EURUSD[Change %])</f>
        <v>5.5622508575130616E-4</v>
      </c>
      <c r="D79" s="5">
        <f ca="1">_xlfn.XLOOKUP(twoFiveTwo[[#This Row],[Date]],SGDJPY[Date],SGDJPY[Change %])</f>
        <v>4.6036736602054725E-4</v>
      </c>
      <c r="E79" s="5">
        <f ca="1">_xlfn.XLOOKUP(twoFiveTwo[[#This Row],[Date]],GBPUSD[Date],GBPUSD[Change %])</f>
        <v>7.9226746949761514E-5</v>
      </c>
    </row>
    <row r="80" spans="1:5" x14ac:dyDescent="0.35">
      <c r="A80" s="1" vm="169">
        <v>45383</v>
      </c>
      <c r="B80" s="5">
        <f ca="1">_xlfn.XLOOKUP(twoFiveTwo[[#This Row],[Date]],USDJPY[Date],USDJPY[Change %])</f>
        <v>2.1148635252130933E-3</v>
      </c>
      <c r="C80" s="5">
        <f ca="1">_xlfn.XLOOKUP(twoFiveTwo[[#This Row],[Date]],EURUSD[Date],EURUSD[Change %])</f>
        <v>-4.632632261650972E-3</v>
      </c>
      <c r="D80" s="5">
        <f ca="1">_xlfn.XLOOKUP(twoFiveTwo[[#This Row],[Date]],SGDJPY[Date],SGDJPY[Change %])</f>
        <v>-2.9785260754798033E-4</v>
      </c>
      <c r="E80" s="5">
        <f ca="1">_xlfn.XLOOKUP(twoFiveTwo[[#This Row],[Date]],GBPUSD[Date],GBPUSD[Change %])</f>
        <v>-5.7830943515805155E-3</v>
      </c>
    </row>
    <row r="81" spans="1:5" x14ac:dyDescent="0.35">
      <c r="A81" s="1" vm="170">
        <v>45384</v>
      </c>
      <c r="B81" s="5">
        <f ca="1">_xlfn.XLOOKUP(twoFiveTwo[[#This Row],[Date]],USDJPY[Date],USDJPY[Change %])</f>
        <v>-5.276000791399069E-4</v>
      </c>
      <c r="C81" s="5">
        <f ca="1">_xlfn.XLOOKUP(twoFiveTwo[[#This Row],[Date]],EURUSD[Date],EURUSD[Change %])</f>
        <v>2.3270967141393898E-3</v>
      </c>
      <c r="D81" s="5">
        <f ca="1">_xlfn.XLOOKUP(twoFiveTwo[[#This Row],[Date]],SGDJPY[Date],SGDJPY[Change %])</f>
        <v>2.8634483053916501E-4</v>
      </c>
      <c r="E81" s="5">
        <f ca="1">_xlfn.XLOOKUP(twoFiveTwo[[#This Row],[Date]],GBPUSD[Date],GBPUSD[Change %])</f>
        <v>2.1513944223108743E-3</v>
      </c>
    </row>
    <row r="82" spans="1:5" x14ac:dyDescent="0.35">
      <c r="A82" s="1" vm="171">
        <v>45385</v>
      </c>
      <c r="B82" s="5">
        <f ca="1">_xlfn.XLOOKUP(twoFiveTwo[[#This Row],[Date]],USDJPY[Date],USDJPY[Change %])</f>
        <v>8.5780270537773307E-4</v>
      </c>
      <c r="C82" s="5">
        <f ca="1">_xlfn.XLOOKUP(twoFiveTwo[[#This Row],[Date]],EURUSD[Date],EURUSD[Change %])</f>
        <v>6.2221396731054314E-3</v>
      </c>
      <c r="D82" s="5">
        <f ca="1">_xlfn.XLOOKUP(twoFiveTwo[[#This Row],[Date]],SGDJPY[Date],SGDJPY[Change %])</f>
        <v>3.2327192207230356E-3</v>
      </c>
      <c r="E82" s="5">
        <f ca="1">_xlfn.XLOOKUP(twoFiveTwo[[#This Row],[Date]],GBPUSD[Date],GBPUSD[Change %])</f>
        <v>5.8837560626539328E-3</v>
      </c>
    </row>
    <row r="83" spans="1:5" x14ac:dyDescent="0.35">
      <c r="A83" s="1" vm="172">
        <v>45386</v>
      </c>
      <c r="B83" s="5">
        <f ca="1">_xlfn.XLOOKUP(twoFiveTwo[[#This Row],[Date]],USDJPY[Date],USDJPY[Change %])</f>
        <v>-2.3074894514767555E-3</v>
      </c>
      <c r="C83" s="5">
        <f ca="1">_xlfn.XLOOKUP(twoFiveTwo[[#This Row],[Date]],EURUSD[Date],EURUSD[Change %])</f>
        <v>0</v>
      </c>
      <c r="D83" s="5">
        <f ca="1">_xlfn.XLOOKUP(twoFiveTwo[[#This Row],[Date]],SGDJPY[Date],SGDJPY[Change %])</f>
        <v>-2.6773999708437947E-3</v>
      </c>
      <c r="E83" s="5">
        <f ca="1">_xlfn.XLOOKUP(twoFiveTwo[[#This Row],[Date]],GBPUSD[Date],GBPUSD[Change %])</f>
        <v>-8.6949648249140695E-4</v>
      </c>
    </row>
    <row r="84" spans="1:5" x14ac:dyDescent="0.35">
      <c r="A84" s="1" vm="173">
        <v>45387</v>
      </c>
      <c r="B84" s="5">
        <f ca="1">_xlfn.XLOOKUP(twoFiveTwo[[#This Row],[Date]],USDJPY[Date],USDJPY[Change %])</f>
        <v>1.8502610189651829E-3</v>
      </c>
      <c r="C84" s="5">
        <f ca="1">_xlfn.XLOOKUP(twoFiveTwo[[#This Row],[Date]],EURUSD[Date],EURUSD[Change %])</f>
        <v>0</v>
      </c>
      <c r="D84" s="5">
        <f ca="1">_xlfn.XLOOKUP(twoFiveTwo[[#This Row],[Date]],SGDJPY[Date],SGDJPY[Change %])</f>
        <v>1.7763556633035762E-3</v>
      </c>
      <c r="E84" s="5">
        <f ca="1">_xlfn.XLOOKUP(twoFiveTwo[[#This Row],[Date]],GBPUSD[Date],GBPUSD[Change %])</f>
        <v>-3.1645569620249679E-4</v>
      </c>
    </row>
    <row r="85" spans="1:5" x14ac:dyDescent="0.35">
      <c r="A85" s="1" vm="174">
        <v>45390</v>
      </c>
      <c r="B85" s="5">
        <f ca="1">_xlfn.XLOOKUP(twoFiveTwo[[#This Row],[Date]],USDJPY[Date],USDJPY[Change %])</f>
        <v>1.1872567772572944E-3</v>
      </c>
      <c r="C85" s="5">
        <f ca="1">_xlfn.XLOOKUP(twoFiveTwo[[#This Row],[Date]],EURUSD[Date],EURUSD[Change %])</f>
        <v>2.1227503461007761E-3</v>
      </c>
      <c r="D85" s="5">
        <f ca="1">_xlfn.XLOOKUP(twoFiveTwo[[#This Row],[Date]],SGDJPY[Date],SGDJPY[Change %])</f>
        <v>2.1442177742307697E-3</v>
      </c>
      <c r="E85" s="5">
        <f ca="1">_xlfn.XLOOKUP(twoFiveTwo[[#This Row],[Date]],GBPUSD[Date],GBPUSD[Change %])</f>
        <v>1.2662234884457469E-3</v>
      </c>
    </row>
    <row r="86" spans="1:5" x14ac:dyDescent="0.35">
      <c r="A86" s="1" vm="175">
        <v>45391</v>
      </c>
      <c r="B86" s="5">
        <f ca="1">_xlfn.XLOOKUP(twoFiveTwo[[#This Row],[Date]],USDJPY[Date],USDJPY[Change %])</f>
        <v>-1.3176098557205225E-4</v>
      </c>
      <c r="C86" s="5">
        <f ca="1">_xlfn.XLOOKUP(twoFiveTwo[[#This Row],[Date]],EURUSD[Date],EURUSD[Change %])</f>
        <v>-2.7629397679148E-4</v>
      </c>
      <c r="D86" s="5">
        <f ca="1">_xlfn.XLOOKUP(twoFiveTwo[[#This Row],[Date]],SGDJPY[Date],SGDJPY[Change %])</f>
        <v>1.6610985978765364E-3</v>
      </c>
      <c r="E86" s="5">
        <f ca="1">_xlfn.XLOOKUP(twoFiveTwo[[#This Row],[Date]],GBPUSD[Date],GBPUSD[Change %])</f>
        <v>1.8969332911792267E-3</v>
      </c>
    </row>
    <row r="87" spans="1:5" x14ac:dyDescent="0.35">
      <c r="A87" s="1" vm="176">
        <v>45392</v>
      </c>
      <c r="B87" s="5">
        <f ca="1">_xlfn.XLOOKUP(twoFiveTwo[[#This Row],[Date]],USDJPY[Date],USDJPY[Change %])</f>
        <v>9.2244844172101013E-3</v>
      </c>
      <c r="C87" s="5">
        <f ca="1">_xlfn.XLOOKUP(twoFiveTwo[[#This Row],[Date]],EURUSD[Date],EURUSD[Change %])</f>
        <v>-1.0409949332104897E-2</v>
      </c>
      <c r="D87" s="5">
        <f ca="1">_xlfn.XLOOKUP(twoFiveTwo[[#This Row],[Date]],SGDJPY[Date],SGDJPY[Change %])</f>
        <v>2.682067727084968E-3</v>
      </c>
      <c r="E87" s="5">
        <f ca="1">_xlfn.XLOOKUP(twoFiveTwo[[#This Row],[Date]],GBPUSD[Date],GBPUSD[Change %])</f>
        <v>-1.1438939728620982E-2</v>
      </c>
    </row>
    <row r="88" spans="1:5" x14ac:dyDescent="0.35">
      <c r="A88" s="1" vm="177">
        <v>45393</v>
      </c>
      <c r="B88" s="5">
        <f ca="1">_xlfn.XLOOKUP(twoFiveTwo[[#This Row],[Date]],USDJPY[Date],USDJPY[Change %])</f>
        <v>6.5286936084104426E-4</v>
      </c>
      <c r="C88" s="5">
        <f ca="1">_xlfn.XLOOKUP(twoFiveTwo[[#This Row],[Date]],EURUSD[Date],EURUSD[Change %])</f>
        <v>-1.6756656116179703E-3</v>
      </c>
      <c r="D88" s="5">
        <f ca="1">_xlfn.XLOOKUP(twoFiveTwo[[#This Row],[Date]],SGDJPY[Date],SGDJPY[Change %])</f>
        <v>9.3170447112059858E-4</v>
      </c>
      <c r="E88" s="5">
        <f ca="1">_xlfn.XLOOKUP(twoFiveTwo[[#This Row],[Date]],GBPUSD[Date],GBPUSD[Change %])</f>
        <v>1.5162397254806406E-3</v>
      </c>
    </row>
    <row r="89" spans="1:5" x14ac:dyDescent="0.35">
      <c r="A89" s="1" vm="178">
        <v>45394</v>
      </c>
      <c r="B89" s="5">
        <f ca="1">_xlfn.XLOOKUP(twoFiveTwo[[#This Row],[Date]],USDJPY[Date],USDJPY[Change %])</f>
        <v>6.5244340053441014E-5</v>
      </c>
      <c r="C89" s="5">
        <f ca="1">_xlfn.XLOOKUP(twoFiveTwo[[#This Row],[Date]],EURUSD[Date],EURUSD[Change %])</f>
        <v>-7.6464005967922279E-3</v>
      </c>
      <c r="D89" s="5">
        <f ca="1">_xlfn.XLOOKUP(twoFiveTwo[[#This Row],[Date]],SGDJPY[Date],SGDJPY[Change %])</f>
        <v>-5.7378077105820092E-3</v>
      </c>
      <c r="E89" s="5">
        <f ca="1">_xlfn.XLOOKUP(twoFiveTwo[[#This Row],[Date]],GBPUSD[Date],GBPUSD[Change %])</f>
        <v>-7.9681274900396722E-3</v>
      </c>
    </row>
    <row r="90" spans="1:5" x14ac:dyDescent="0.35">
      <c r="A90" s="1" vm="179">
        <v>45397</v>
      </c>
      <c r="B90" s="5">
        <f ca="1">_xlfn.XLOOKUP(twoFiveTwo[[#This Row],[Date]],USDJPY[Date],USDJPY[Change %])</f>
        <v>6.4587682672234414E-3</v>
      </c>
      <c r="C90" s="5">
        <f ca="1">_xlfn.XLOOKUP(twoFiveTwo[[#This Row],[Date]],EURUSD[Date],EURUSD[Change %])</f>
        <v>-1.879345987596318E-3</v>
      </c>
      <c r="D90" s="5">
        <f ca="1">_xlfn.XLOOKUP(twoFiveTwo[[#This Row],[Date]],SGDJPY[Date],SGDJPY[Change %])</f>
        <v>5.2122147738042392E-3</v>
      </c>
      <c r="E90" s="5">
        <f ca="1">_xlfn.XLOOKUP(twoFiveTwo[[#This Row],[Date]],GBPUSD[Date],GBPUSD[Change %])</f>
        <v>-4.8192771084349875E-4</v>
      </c>
    </row>
    <row r="91" spans="1:5" x14ac:dyDescent="0.35">
      <c r="A91" s="1" vm="180">
        <v>45398</v>
      </c>
      <c r="B91" s="5">
        <f ca="1">_xlfn.XLOOKUP(twoFiveTwo[[#This Row],[Date]],USDJPY[Date],USDJPY[Change %])</f>
        <v>2.8521423478317085E-3</v>
      </c>
      <c r="C91" s="5">
        <f ca="1">_xlfn.XLOOKUP(twoFiveTwo[[#This Row],[Date]],EURUSD[Date],EURUSD[Change %])</f>
        <v>-4.707211447937723E-4</v>
      </c>
      <c r="D91" s="5">
        <f ca="1">_xlfn.XLOOKUP(twoFiveTwo[[#This Row],[Date]],SGDJPY[Date],SGDJPY[Change %])</f>
        <v>1.3749409067011303E-3</v>
      </c>
      <c r="E91" s="5">
        <f ca="1">_xlfn.XLOOKUP(twoFiveTwo[[#This Row],[Date]],GBPUSD[Date],GBPUSD[Change %])</f>
        <v>-1.6072002571520425E-3</v>
      </c>
    </row>
    <row r="92" spans="1:5" x14ac:dyDescent="0.35">
      <c r="A92" s="1" vm="181">
        <v>45399</v>
      </c>
      <c r="B92" s="5">
        <f ca="1">_xlfn.XLOOKUP(twoFiveTwo[[#This Row],[Date]],USDJPY[Date],USDJPY[Change %])</f>
        <v>-2.1330230754315329E-3</v>
      </c>
      <c r="C92" s="5">
        <f ca="1">_xlfn.XLOOKUP(twoFiveTwo[[#This Row],[Date]],EURUSD[Date],EURUSD[Change %])</f>
        <v>5.0861825374398121E-3</v>
      </c>
      <c r="D92" s="5">
        <f ca="1">_xlfn.XLOOKUP(twoFiveTwo[[#This Row],[Date]],SGDJPY[Date],SGDJPY[Change %])</f>
        <v>8.7271815968536636E-4</v>
      </c>
      <c r="E92" s="5">
        <f ca="1">_xlfn.XLOOKUP(twoFiveTwo[[#This Row],[Date]],GBPUSD[Date],GBPUSD[Change %])</f>
        <v>1.7707662588538151E-3</v>
      </c>
    </row>
    <row r="93" spans="1:5" x14ac:dyDescent="0.35">
      <c r="A93" s="1" vm="182">
        <v>45400</v>
      </c>
      <c r="B93" s="5">
        <f ca="1">_xlfn.XLOOKUP(twoFiveTwo[[#This Row],[Date]],USDJPY[Date],USDJPY[Change %])</f>
        <v>1.6193807488016584E-3</v>
      </c>
      <c r="C93" s="5">
        <f ca="1">_xlfn.XLOOKUP(twoFiveTwo[[#This Row],[Date]],EURUSD[Date],EURUSD[Change %])</f>
        <v>-2.6239340268015311E-3</v>
      </c>
      <c r="D93" s="5">
        <f ca="1">_xlfn.XLOOKUP(twoFiveTwo[[#This Row],[Date]],SGDJPY[Date],SGDJPY[Change %])</f>
        <v>8.1024130908189198E-4</v>
      </c>
      <c r="E93" s="5">
        <f ca="1">_xlfn.XLOOKUP(twoFiveTwo[[#This Row],[Date]],GBPUSD[Date],GBPUSD[Change %])</f>
        <v>-8.8381809416670327E-4</v>
      </c>
    </row>
    <row r="94" spans="1:5" x14ac:dyDescent="0.35">
      <c r="A94" s="1" vm="183">
        <v>45401</v>
      </c>
      <c r="B94" s="5">
        <f ca="1">_xlfn.XLOOKUP(twoFiveTwo[[#This Row],[Date]],USDJPY[Date],USDJPY[Change %])</f>
        <v>0</v>
      </c>
      <c r="C94" s="5">
        <f ca="1">_xlfn.XLOOKUP(twoFiveTwo[[#This Row],[Date]],EURUSD[Date],EURUSD[Change %])</f>
        <v>1.0335431739170147E-3</v>
      </c>
      <c r="D94" s="5">
        <f ca="1">_xlfn.XLOOKUP(twoFiveTwo[[#This Row],[Date]],SGDJPY[Date],SGDJPY[Change %])</f>
        <v>2.2023540521998156E-4</v>
      </c>
      <c r="E94" s="5">
        <f ca="1">_xlfn.XLOOKUP(twoFiveTwo[[#This Row],[Date]],GBPUSD[Date],GBPUSD[Change %])</f>
        <v>-5.1467631684760443E-3</v>
      </c>
    </row>
    <row r="95" spans="1:5" x14ac:dyDescent="0.35">
      <c r="A95" s="1" vm="184">
        <v>45404</v>
      </c>
      <c r="B95" s="5">
        <f ca="1">_xlfn.XLOOKUP(twoFiveTwo[[#This Row],[Date]],USDJPY[Date],USDJPY[Change %])</f>
        <v>1.3580805794477654E-3</v>
      </c>
      <c r="C95" s="5">
        <f ca="1">_xlfn.XLOOKUP(twoFiveTwo[[#This Row],[Date]],EURUSD[Date],EURUSD[Change %])</f>
        <v>0</v>
      </c>
      <c r="D95" s="5">
        <f ca="1">_xlfn.XLOOKUP(twoFiveTwo[[#This Row],[Date]],SGDJPY[Date],SGDJPY[Change %])</f>
        <v>1.2110280174634895E-3</v>
      </c>
      <c r="E95" s="5">
        <f ca="1">_xlfn.XLOOKUP(twoFiveTwo[[#This Row],[Date]],GBPUSD[Date],GBPUSD[Change %])</f>
        <v>-1.778352598819804E-3</v>
      </c>
    </row>
    <row r="96" spans="1:5" x14ac:dyDescent="0.35">
      <c r="A96" s="1" vm="185">
        <v>45405</v>
      </c>
      <c r="B96" s="5">
        <f ca="1">_xlfn.XLOOKUP(twoFiveTwo[[#This Row],[Date]],USDJPY[Date],USDJPY[Change %])</f>
        <v>-1.2916559028681369E-4</v>
      </c>
      <c r="C96" s="5">
        <f ca="1">_xlfn.XLOOKUP(twoFiveTwo[[#This Row],[Date]],EURUSD[Date],EURUSD[Change %])</f>
        <v>4.2237657217947915E-3</v>
      </c>
      <c r="D96" s="5">
        <f ca="1">_xlfn.XLOOKUP(twoFiveTwo[[#This Row],[Date]],SGDJPY[Date],SGDJPY[Change %])</f>
        <v>3.0261072121627413E-4</v>
      </c>
      <c r="E96" s="5">
        <f ca="1">_xlfn.XLOOKUP(twoFiveTwo[[#This Row],[Date]],GBPUSD[Date],GBPUSD[Change %])</f>
        <v>8.0168434691066451E-3</v>
      </c>
    </row>
    <row r="97" spans="1:5" x14ac:dyDescent="0.35">
      <c r="A97" s="1" vm="186">
        <v>45406</v>
      </c>
      <c r="B97" s="5">
        <f ca="1">_xlfn.XLOOKUP(twoFiveTwo[[#This Row],[Date]],USDJPY[Date],USDJPY[Change %])</f>
        <v>3.3587391809844352E-3</v>
      </c>
      <c r="C97" s="5">
        <f ca="1">_xlfn.XLOOKUP(twoFiveTwo[[#This Row],[Date]],EURUSD[Date],EURUSD[Change %])</f>
        <v>-1.869333582577605E-4</v>
      </c>
      <c r="D97" s="5">
        <f ca="1">_xlfn.XLOOKUP(twoFiveTwo[[#This Row],[Date]],SGDJPY[Date],SGDJPY[Change %])</f>
        <v>2.7780758021594873E-3</v>
      </c>
      <c r="E97" s="5">
        <f ca="1">_xlfn.XLOOKUP(twoFiveTwo[[#This Row],[Date]],GBPUSD[Date],GBPUSD[Change %])</f>
        <v>1.0443444730077755E-3</v>
      </c>
    </row>
    <row r="98" spans="1:5" x14ac:dyDescent="0.35">
      <c r="A98" s="1" vm="187">
        <v>45407</v>
      </c>
      <c r="B98" s="5">
        <f ca="1">_xlfn.XLOOKUP(twoFiveTwo[[#This Row],[Date]],USDJPY[Date],USDJPY[Change %])</f>
        <v>1.9956225054718829E-3</v>
      </c>
      <c r="C98" s="5">
        <f ca="1">_xlfn.XLOOKUP(twoFiveTwo[[#This Row],[Date]],EURUSD[Date],EURUSD[Change %])</f>
        <v>2.9914929419462177E-3</v>
      </c>
      <c r="D98" s="5">
        <f ca="1">_xlfn.XLOOKUP(twoFiveTwo[[#This Row],[Date]],SGDJPY[Date],SGDJPY[Change %])</f>
        <v>4.3550821423215657E-3</v>
      </c>
      <c r="E98" s="5">
        <f ca="1">_xlfn.XLOOKUP(twoFiveTwo[[#This Row],[Date]],GBPUSD[Date],GBPUSD[Change %])</f>
        <v>4.173019821844229E-3</v>
      </c>
    </row>
    <row r="99" spans="1:5" x14ac:dyDescent="0.35">
      <c r="A99" s="1" vm="188">
        <v>45408</v>
      </c>
      <c r="B99" s="5">
        <f ca="1">_xlfn.XLOOKUP(twoFiveTwo[[#This Row],[Date]],USDJPY[Date],USDJPY[Change %])</f>
        <v>1.7218117571474505E-2</v>
      </c>
      <c r="C99" s="5">
        <f ca="1">_xlfn.XLOOKUP(twoFiveTwo[[#This Row],[Date]],EURUSD[Date],EURUSD[Change %])</f>
        <v>-3.4485972597632928E-3</v>
      </c>
      <c r="D99" s="5">
        <f ca="1">_xlfn.XLOOKUP(twoFiveTwo[[#This Row],[Date]],SGDJPY[Date],SGDJPY[Change %])</f>
        <v>1.4318358636551442E-2</v>
      </c>
      <c r="E99" s="5">
        <f ca="1">_xlfn.XLOOKUP(twoFiveTwo[[#This Row],[Date]],GBPUSD[Date],GBPUSD[Change %])</f>
        <v>-1.9180052745146484E-3</v>
      </c>
    </row>
    <row r="100" spans="1:5" x14ac:dyDescent="0.35">
      <c r="A100" s="1" vm="189">
        <v>45411</v>
      </c>
      <c r="B100" s="5">
        <f ca="1">_xlfn.XLOOKUP(twoFiveTwo[[#This Row],[Date]],USDJPY[Date],USDJPY[Change %])</f>
        <v>-1.263184488094486E-2</v>
      </c>
      <c r="C100" s="5">
        <f ca="1">_xlfn.XLOOKUP(twoFiveTwo[[#This Row],[Date]],EURUSD[Date],EURUSD[Change %])</f>
        <v>2.5252525252526625E-3</v>
      </c>
      <c r="D100" s="5">
        <f ca="1">_xlfn.XLOOKUP(twoFiveTwo[[#This Row],[Date]],SGDJPY[Date],SGDJPY[Change %])</f>
        <v>-1.0173538984936049E-2</v>
      </c>
      <c r="E100" s="5">
        <f ca="1">_xlfn.XLOOKUP(twoFiveTwo[[#This Row],[Date]],GBPUSD[Date],GBPUSD[Change %])</f>
        <v>5.7650732644728125E-3</v>
      </c>
    </row>
    <row r="101" spans="1:5" x14ac:dyDescent="0.35">
      <c r="A101" s="1" vm="190">
        <v>45412</v>
      </c>
      <c r="B101" s="5">
        <f ca="1">_xlfn.XLOOKUP(twoFiveTwo[[#This Row],[Date]],USDJPY[Date],USDJPY[Change %])</f>
        <v>9.4031855689886701E-3</v>
      </c>
      <c r="C101" s="5">
        <f ca="1">_xlfn.XLOOKUP(twoFiveTwo[[#This Row],[Date]],EURUSD[Date],EURUSD[Change %])</f>
        <v>-5.0377833753149281E-3</v>
      </c>
      <c r="D101" s="5">
        <f ca="1">_xlfn.XLOOKUP(twoFiveTwo[[#This Row],[Date]],SGDJPY[Date],SGDJPY[Change %])</f>
        <v>5.0425152393021007E-3</v>
      </c>
      <c r="E101" s="5">
        <f ca="1">_xlfn.XLOOKUP(twoFiveTwo[[#This Row],[Date]],GBPUSD[Date],GBPUSD[Change %])</f>
        <v>-5.6524162089004728E-3</v>
      </c>
    </row>
    <row r="102" spans="1:5" x14ac:dyDescent="0.35">
      <c r="A102" s="1" vm="191">
        <v>45413</v>
      </c>
      <c r="B102" s="5">
        <f ca="1">_xlfn.XLOOKUP(twoFiveTwo[[#This Row],[Date]],USDJPY[Date],USDJPY[Change %])</f>
        <v>-2.1102661596958252E-2</v>
      </c>
      <c r="C102" s="5">
        <f ca="1">_xlfn.XLOOKUP(twoFiveTwo[[#This Row],[Date]],EURUSD[Date],EURUSD[Change %])</f>
        <v>4.1256446319737081E-3</v>
      </c>
      <c r="D102" s="5">
        <f ca="1">_xlfn.XLOOKUP(twoFiveTwo[[#This Row],[Date]],SGDJPY[Date],SGDJPY[Change %])</f>
        <v>-1.8227429235017429E-2</v>
      </c>
      <c r="E102" s="5">
        <f ca="1">_xlfn.XLOOKUP(twoFiveTwo[[#This Row],[Date]],GBPUSD[Date],GBPUSD[Change %])</f>
        <v>2.8022417934346166E-3</v>
      </c>
    </row>
    <row r="103" spans="1:5" x14ac:dyDescent="0.35">
      <c r="A103" s="1" vm="192">
        <v>45414</v>
      </c>
      <c r="B103" s="5">
        <f ca="1">_xlfn.XLOOKUP(twoFiveTwo[[#This Row],[Date]],USDJPY[Date],USDJPY[Change %])</f>
        <v>-5.4379491163332903E-3</v>
      </c>
      <c r="C103" s="5">
        <f ca="1">_xlfn.XLOOKUP(twoFiveTwo[[#This Row],[Date]],EURUSD[Date],EURUSD[Change %])</f>
        <v>1.4940704080680231E-3</v>
      </c>
      <c r="D103" s="5">
        <f ca="1">_xlfn.XLOOKUP(twoFiveTwo[[#This Row],[Date]],SGDJPY[Date],SGDJPY[Change %])</f>
        <v>-8.1441478920845603E-4</v>
      </c>
      <c r="E103" s="5">
        <f ca="1">_xlfn.XLOOKUP(twoFiveTwo[[#This Row],[Date]],GBPUSD[Date],GBPUSD[Change %])</f>
        <v>4.7904191616778924E-4</v>
      </c>
    </row>
    <row r="104" spans="1:5" x14ac:dyDescent="0.35">
      <c r="A104" s="1" vm="193">
        <v>45415</v>
      </c>
      <c r="B104" s="5">
        <f ca="1">_xlfn.XLOOKUP(twoFiveTwo[[#This Row],[Date]],USDJPY[Date],USDJPY[Change %])</f>
        <v>-4.2309444769902081E-3</v>
      </c>
      <c r="C104" s="5">
        <f ca="1">_xlfn.XLOOKUP(twoFiveTwo[[#This Row],[Date]],EURUSD[Date],EURUSD[Change %])</f>
        <v>3.0769230769231519E-3</v>
      </c>
      <c r="D104" s="5">
        <f ca="1">_xlfn.XLOOKUP(twoFiveTwo[[#This Row],[Date]],SGDJPY[Date],SGDJPY[Change %])</f>
        <v>-1.7289546087664133E-4</v>
      </c>
      <c r="E104" s="5">
        <f ca="1">_xlfn.XLOOKUP(twoFiveTwo[[#This Row],[Date]],GBPUSD[Date],GBPUSD[Change %])</f>
        <v>1.0374271805920171E-3</v>
      </c>
    </row>
    <row r="105" spans="1:5" x14ac:dyDescent="0.35">
      <c r="A105" s="1" vm="194">
        <v>45418</v>
      </c>
      <c r="B105" s="5">
        <f ca="1">_xlfn.XLOOKUP(twoFiveTwo[[#This Row],[Date]],USDJPY[Date],USDJPY[Change %])</f>
        <v>5.8831219767290222E-3</v>
      </c>
      <c r="C105" s="5">
        <f ca="1">_xlfn.XLOOKUP(twoFiveTwo[[#This Row],[Date]],EURUSD[Date],EURUSD[Change %])</f>
        <v>9.295408068413179E-4</v>
      </c>
      <c r="D105" s="5">
        <f ca="1">_xlfn.XLOOKUP(twoFiveTwo[[#This Row],[Date]],SGDJPY[Date],SGDJPY[Change %])</f>
        <v>4.6178129000552766E-3</v>
      </c>
      <c r="E105" s="5">
        <f ca="1">_xlfn.XLOOKUP(twoFiveTwo[[#This Row],[Date]],GBPUSD[Date],GBPUSD[Change %])</f>
        <v>1.3552295918367624E-3</v>
      </c>
    </row>
    <row r="106" spans="1:5" x14ac:dyDescent="0.35">
      <c r="A106" s="1" vm="195">
        <v>45419</v>
      </c>
      <c r="B106" s="5">
        <f ca="1">_xlfn.XLOOKUP(twoFiveTwo[[#This Row],[Date]],USDJPY[Date],USDJPY[Change %])</f>
        <v>5.2638419547699654E-3</v>
      </c>
      <c r="C106" s="5">
        <f ca="1">_xlfn.XLOOKUP(twoFiveTwo[[#This Row],[Date]],EURUSD[Date],EURUSD[Change %])</f>
        <v>-1.4858841010401615E-3</v>
      </c>
      <c r="D106" s="5">
        <f ca="1">_xlfn.XLOOKUP(twoFiveTwo[[#This Row],[Date]],SGDJPY[Date],SGDJPY[Change %])</f>
        <v>2.9631034776507205E-3</v>
      </c>
      <c r="E106" s="5">
        <f ca="1">_xlfn.XLOOKUP(twoFiveTwo[[#This Row],[Date]],GBPUSD[Date],GBPUSD[Change %])</f>
        <v>-4.5378552663004846E-3</v>
      </c>
    </row>
    <row r="107" spans="1:5" x14ac:dyDescent="0.35">
      <c r="A107" s="1" vm="196">
        <v>45420</v>
      </c>
      <c r="B107" s="5">
        <f ca="1">_xlfn.XLOOKUP(twoFiveTwo[[#This Row],[Date]],USDJPY[Date],USDJPY[Change %])</f>
        <v>5.1069881698881121E-3</v>
      </c>
      <c r="C107" s="5">
        <f ca="1">_xlfn.XLOOKUP(twoFiveTwo[[#This Row],[Date]],EURUSD[Date],EURUSD[Change %])</f>
        <v>-6.5104166666659496E-4</v>
      </c>
      <c r="D107" s="5">
        <f ca="1">_xlfn.XLOOKUP(twoFiveTwo[[#This Row],[Date]],SGDJPY[Date],SGDJPY[Change %])</f>
        <v>4.0690165448822738E-3</v>
      </c>
      <c r="E107" s="5">
        <f ca="1">_xlfn.XLOOKUP(twoFiveTwo[[#This Row],[Date]],GBPUSD[Date],GBPUSD[Change %])</f>
        <v>-6.397952655149648E-4</v>
      </c>
    </row>
    <row r="108" spans="1:5" x14ac:dyDescent="0.35">
      <c r="A108" s="1" vm="197">
        <v>45421</v>
      </c>
      <c r="B108" s="5">
        <f ca="1">_xlfn.XLOOKUP(twoFiveTwo[[#This Row],[Date]],USDJPY[Date],USDJPY[Change %])</f>
        <v>-1.2863390789800497E-4</v>
      </c>
      <c r="C108" s="5">
        <f ca="1">_xlfn.XLOOKUP(twoFiveTwo[[#This Row],[Date]],EURUSD[Date],EURUSD[Change %])</f>
        <v>3.3503955328060006E-3</v>
      </c>
      <c r="D108" s="5">
        <f ca="1">_xlfn.XLOOKUP(twoFiveTwo[[#This Row],[Date]],SGDJPY[Date],SGDJPY[Change %])</f>
        <v>2.0886166468414577E-3</v>
      </c>
      <c r="E108" s="5">
        <f ca="1">_xlfn.XLOOKUP(twoFiveTwo[[#This Row],[Date]],GBPUSD[Date],GBPUSD[Change %])</f>
        <v>2.0806658130601277E-3</v>
      </c>
    </row>
    <row r="109" spans="1:5" x14ac:dyDescent="0.35">
      <c r="A109" s="1" vm="198">
        <v>45422</v>
      </c>
      <c r="B109" s="5">
        <f ca="1">_xlfn.XLOOKUP(twoFiveTwo[[#This Row],[Date]],USDJPY[Date],USDJPY[Change %])</f>
        <v>1.6724559372185185E-3</v>
      </c>
      <c r="C109" s="5">
        <f ca="1">_xlfn.XLOOKUP(twoFiveTwo[[#This Row],[Date]],EURUSD[Date],EURUSD[Change %])</f>
        <v>-1.1130692885632965E-3</v>
      </c>
      <c r="D109" s="5">
        <f ca="1">_xlfn.XLOOKUP(twoFiveTwo[[#This Row],[Date]],SGDJPY[Date],SGDJPY[Change %])</f>
        <v>4.1511217166329505E-4</v>
      </c>
      <c r="E109" s="5">
        <f ca="1">_xlfn.XLOOKUP(twoFiveTwo[[#This Row],[Date]],GBPUSD[Date],GBPUSD[Change %])</f>
        <v>-7.9859447372615389E-5</v>
      </c>
    </row>
    <row r="110" spans="1:5" x14ac:dyDescent="0.35">
      <c r="A110" s="1" vm="199">
        <v>45425</v>
      </c>
      <c r="B110" s="5">
        <f ca="1">_xlfn.XLOOKUP(twoFiveTwo[[#This Row],[Date]],USDJPY[Date],USDJPY[Change %])</f>
        <v>3.0824556896993948E-3</v>
      </c>
      <c r="C110" s="5">
        <f ca="1">_xlfn.XLOOKUP(twoFiveTwo[[#This Row],[Date]],EURUSD[Date],EURUSD[Change %])</f>
        <v>1.7643235212183236E-3</v>
      </c>
      <c r="D110" s="5">
        <f ca="1">_xlfn.XLOOKUP(twoFiveTwo[[#This Row],[Date]],SGDJPY[Date],SGDJPY[Change %])</f>
        <v>3.8240585126186853E-3</v>
      </c>
      <c r="E110" s="5">
        <f ca="1">_xlfn.XLOOKUP(twoFiveTwo[[#This Row],[Date]],GBPUSD[Date],GBPUSD[Change %])</f>
        <v>2.9550355402923382E-3</v>
      </c>
    </row>
    <row r="111" spans="1:5" x14ac:dyDescent="0.35">
      <c r="A111" s="1" vm="200">
        <v>45426</v>
      </c>
      <c r="B111" s="5">
        <f ca="1">_xlfn.XLOOKUP(twoFiveTwo[[#This Row],[Date]],USDJPY[Date],USDJPY[Change %])</f>
        <v>1.408450704225345E-3</v>
      </c>
      <c r="C111" s="5">
        <f ca="1">_xlfn.XLOOKUP(twoFiveTwo[[#This Row],[Date]],EURUSD[Date],EURUSD[Change %])</f>
        <v>2.7808676307008841E-3</v>
      </c>
      <c r="D111" s="5">
        <f ca="1">_xlfn.XLOOKUP(twoFiveTwo[[#This Row],[Date]],SGDJPY[Date],SGDJPY[Change %])</f>
        <v>2.3709660646816341E-3</v>
      </c>
      <c r="E111" s="5">
        <f ca="1">_xlfn.XLOOKUP(twoFiveTwo[[#This Row],[Date]],GBPUSD[Date],GBPUSD[Change %])</f>
        <v>2.3889154323936067E-3</v>
      </c>
    </row>
    <row r="112" spans="1:5" x14ac:dyDescent="0.35">
      <c r="A112" s="1" vm="201">
        <v>45427</v>
      </c>
      <c r="B112" s="5">
        <f ca="1">_xlfn.XLOOKUP(twoFiveTwo[[#This Row],[Date]],USDJPY[Date],USDJPY[Change %])</f>
        <v>-9.909218769978155E-3</v>
      </c>
      <c r="C112" s="5">
        <f ca="1">_xlfn.XLOOKUP(twoFiveTwo[[#This Row],[Date]],EURUSD[Date],EURUSD[Change %])</f>
        <v>5.9160658162321694E-3</v>
      </c>
      <c r="D112" s="5">
        <f ca="1">_xlfn.XLOOKUP(twoFiveTwo[[#This Row],[Date]],SGDJPY[Date],SGDJPY[Change %])</f>
        <v>-4.6831665364106545E-3</v>
      </c>
      <c r="E112" s="5">
        <f ca="1">_xlfn.XLOOKUP(twoFiveTwo[[#This Row],[Date]],GBPUSD[Date],GBPUSD[Change %])</f>
        <v>7.7057515093740406E-3</v>
      </c>
    </row>
    <row r="113" spans="1:5" x14ac:dyDescent="0.35">
      <c r="A113" s="1" vm="202">
        <v>45428</v>
      </c>
      <c r="B113" s="5">
        <f ca="1">_xlfn.XLOOKUP(twoFiveTwo[[#This Row],[Date]],USDJPY[Date],USDJPY[Change %])</f>
        <v>3.2930845225026856E-3</v>
      </c>
      <c r="C113" s="5">
        <f ca="1">_xlfn.XLOOKUP(twoFiveTwo[[#This Row],[Date]],EURUSD[Date],EURUSD[Change %])</f>
        <v>-1.5622128285242003E-3</v>
      </c>
      <c r="D113" s="5">
        <f ca="1">_xlfn.XLOOKUP(twoFiveTwo[[#This Row],[Date]],SGDJPY[Date],SGDJPY[Change %])</f>
        <v>2.4086255373371424E-3</v>
      </c>
      <c r="E113" s="5">
        <f ca="1">_xlfn.XLOOKUP(twoFiveTwo[[#This Row],[Date]],GBPUSD[Date],GBPUSD[Change %])</f>
        <v>-1.4978320851399391E-3</v>
      </c>
    </row>
    <row r="114" spans="1:5" x14ac:dyDescent="0.35">
      <c r="A114" s="1" vm="203">
        <v>45429</v>
      </c>
      <c r="B114" s="5">
        <f ca="1">_xlfn.XLOOKUP(twoFiveTwo[[#This Row],[Date]],USDJPY[Date],USDJPY[Change %])</f>
        <v>1.7376753764963976E-3</v>
      </c>
      <c r="C114" s="5">
        <f ca="1">_xlfn.XLOOKUP(twoFiveTwo[[#This Row],[Date]],EURUSD[Date],EURUSD[Change %])</f>
        <v>4.6019328117804408E-4</v>
      </c>
      <c r="D114" s="5">
        <f ca="1">_xlfn.XLOOKUP(twoFiveTwo[[#This Row],[Date]],SGDJPY[Date],SGDJPY[Change %])</f>
        <v>2.0995587720484014E-3</v>
      </c>
      <c r="E114" s="5">
        <f ca="1">_xlfn.XLOOKUP(twoFiveTwo[[#This Row],[Date]],GBPUSD[Date],GBPUSD[Change %])</f>
        <v>2.6054002842255492E-3</v>
      </c>
    </row>
    <row r="115" spans="1:5" x14ac:dyDescent="0.35">
      <c r="A115" s="1" vm="204">
        <v>45432</v>
      </c>
      <c r="B115" s="5">
        <f ca="1">_xlfn.XLOOKUP(twoFiveTwo[[#This Row],[Date]],USDJPY[Date],USDJPY[Change %])</f>
        <v>3.7905557340186533E-3</v>
      </c>
      <c r="C115" s="5">
        <f ca="1">_xlfn.XLOOKUP(twoFiveTwo[[#This Row],[Date]],EURUSD[Date],EURUSD[Change %])</f>
        <v>-1.379944802207964E-3</v>
      </c>
      <c r="D115" s="5">
        <f ca="1">_xlfn.XLOOKUP(twoFiveTwo[[#This Row],[Date]],SGDJPY[Date],SGDJPY[Change %])</f>
        <v>2.3753215590480549E-3</v>
      </c>
      <c r="E115" s="5">
        <f ca="1">_xlfn.XLOOKUP(twoFiveTwo[[#This Row],[Date]],GBPUSD[Date],GBPUSD[Change %])</f>
        <v>3.9373178990467355E-4</v>
      </c>
    </row>
    <row r="116" spans="1:5" x14ac:dyDescent="0.35">
      <c r="A116" s="1" vm="205">
        <v>45433</v>
      </c>
      <c r="B116" s="5">
        <f ca="1">_xlfn.XLOOKUP(twoFiveTwo[[#This Row],[Date]],USDJPY[Date],USDJPY[Change %])</f>
        <v>-5.760368663594688E-4</v>
      </c>
      <c r="C116" s="5">
        <f ca="1">_xlfn.XLOOKUP(twoFiveTwo[[#This Row],[Date]],EURUSD[Date],EURUSD[Change %])</f>
        <v>-9.212344541684845E-5</v>
      </c>
      <c r="D116" s="5">
        <f ca="1">_xlfn.XLOOKUP(twoFiveTwo[[#This Row],[Date]],SGDJPY[Date],SGDJPY[Change %])</f>
        <v>-4.2701052947588107E-4</v>
      </c>
      <c r="E116" s="5">
        <f ca="1">_xlfn.XLOOKUP(twoFiveTwo[[#This Row],[Date]],GBPUSD[Date],GBPUSD[Change %])</f>
        <v>2.3614609571785813E-4</v>
      </c>
    </row>
    <row r="117" spans="1:5" x14ac:dyDescent="0.35">
      <c r="A117" s="1" vm="206">
        <v>45434</v>
      </c>
      <c r="B117" s="5">
        <f ca="1">_xlfn.XLOOKUP(twoFiveTwo[[#This Row],[Date]],USDJPY[Date],USDJPY[Change %])</f>
        <v>3.9705411463336823E-3</v>
      </c>
      <c r="C117" s="5">
        <f ca="1">_xlfn.XLOOKUP(twoFiveTwo[[#This Row],[Date]],EURUSD[Date],EURUSD[Change %])</f>
        <v>-3.0403537866223133E-3</v>
      </c>
      <c r="D117" s="5">
        <f ca="1">_xlfn.XLOOKUP(twoFiveTwo[[#This Row],[Date]],SGDJPY[Date],SGDJPY[Change %])</f>
        <v>1.5922646145295647E-3</v>
      </c>
      <c r="E117" s="5">
        <f ca="1">_xlfn.XLOOKUP(twoFiveTwo[[#This Row],[Date]],GBPUSD[Date],GBPUSD[Change %])</f>
        <v>6.2957425041326352E-4</v>
      </c>
    </row>
    <row r="118" spans="1:5" x14ac:dyDescent="0.35">
      <c r="A118" s="1" vm="207">
        <v>45435</v>
      </c>
      <c r="B118" s="5">
        <f ca="1">_xlfn.XLOOKUP(twoFiveTwo[[#This Row],[Date]],USDJPY[Date],USDJPY[Change %])</f>
        <v>1.0206034317790176E-3</v>
      </c>
      <c r="C118" s="5">
        <f ca="1">_xlfn.XLOOKUP(twoFiveTwo[[#This Row],[Date]],EURUSD[Date],EURUSD[Change %])</f>
        <v>-7.3930320672778286E-4</v>
      </c>
      <c r="D118" s="5">
        <f ca="1">_xlfn.XLOOKUP(twoFiveTwo[[#This Row],[Date]],SGDJPY[Date],SGDJPY[Change %])</f>
        <v>2.0593293651761203E-4</v>
      </c>
      <c r="E118" s="5">
        <f ca="1">_xlfn.XLOOKUP(twoFiveTwo[[#This Row],[Date]],GBPUSD[Date],GBPUSD[Change %])</f>
        <v>-1.4156508061345056E-3</v>
      </c>
    </row>
    <row r="119" spans="1:5" x14ac:dyDescent="0.35">
      <c r="A119" s="1" vm="208">
        <v>45436</v>
      </c>
      <c r="B119" s="5">
        <f ca="1">_xlfn.XLOOKUP(twoFiveTwo[[#This Row],[Date]],USDJPY[Date],USDJPY[Change %])</f>
        <v>3.8233607340854058E-4</v>
      </c>
      <c r="C119" s="5">
        <f ca="1">_xlfn.XLOOKUP(twoFiveTwo[[#This Row],[Date]],EURUSD[Date],EURUSD[Change %])</f>
        <v>2.9594007213540109E-3</v>
      </c>
      <c r="D119" s="5">
        <f ca="1">_xlfn.XLOOKUP(twoFiveTwo[[#This Row],[Date]],SGDJPY[Date],SGDJPY[Change %])</f>
        <v>1.4929217590115666E-3</v>
      </c>
      <c r="E119" s="5">
        <f ca="1">_xlfn.XLOOKUP(twoFiveTwo[[#This Row],[Date]],GBPUSD[Date],GBPUSD[Change %])</f>
        <v>3.3866267622272746E-3</v>
      </c>
    </row>
    <row r="120" spans="1:5" x14ac:dyDescent="0.35">
      <c r="A120" s="1" vm="209">
        <v>45439</v>
      </c>
      <c r="B120" s="5">
        <f ca="1">_xlfn.XLOOKUP(twoFiveTwo[[#This Row],[Date]],USDJPY[Date],USDJPY[Change %])</f>
        <v>-8.2807822154274443E-4</v>
      </c>
      <c r="C120" s="5">
        <f ca="1">_xlfn.XLOOKUP(twoFiveTwo[[#This Row],[Date]],EURUSD[Date],EURUSD[Change %])</f>
        <v>1.1987090825265826E-3</v>
      </c>
      <c r="D120" s="5">
        <f ca="1">_xlfn.XLOOKUP(twoFiveTwo[[#This Row],[Date]],SGDJPY[Date],SGDJPY[Change %])</f>
        <v>-4.576170880414325E-4</v>
      </c>
      <c r="E120" s="5">
        <f ca="1">_xlfn.XLOOKUP(twoFiveTwo[[#This Row],[Date]],GBPUSD[Date],GBPUSD[Change %])</f>
        <v>2.1193092621663457E-3</v>
      </c>
    </row>
    <row r="121" spans="1:5" x14ac:dyDescent="0.35">
      <c r="A121" s="1" vm="210">
        <v>45440</v>
      </c>
      <c r="B121" s="5">
        <f ca="1">_xlfn.XLOOKUP(twoFiveTwo[[#This Row],[Date]],USDJPY[Date],USDJPY[Change %])</f>
        <v>1.9125334693356046E-3</v>
      </c>
      <c r="C121" s="5">
        <f ca="1">_xlfn.XLOOKUP(twoFiveTwo[[#This Row],[Date]],EURUSD[Date],EURUSD[Change %])</f>
        <v>-2.7629397679148E-4</v>
      </c>
      <c r="D121" s="5">
        <f ca="1">_xlfn.XLOOKUP(twoFiveTwo[[#This Row],[Date]],SGDJPY[Date],SGDJPY[Change %])</f>
        <v>2.53783954038339E-3</v>
      </c>
      <c r="E121" s="5">
        <f ca="1">_xlfn.XLOOKUP(twoFiveTwo[[#This Row],[Date]],GBPUSD[Date],GBPUSD[Change %])</f>
        <v>-5.4828855643449751E-4</v>
      </c>
    </row>
    <row r="122" spans="1:5" x14ac:dyDescent="0.35">
      <c r="A122" s="1" vm="211">
        <v>45441</v>
      </c>
      <c r="B122" s="5">
        <f ca="1">_xlfn.XLOOKUP(twoFiveTwo[[#This Row],[Date]],USDJPY[Date],USDJPY[Change %])</f>
        <v>2.7996945787732105E-3</v>
      </c>
      <c r="C122" s="5">
        <f ca="1">_xlfn.XLOOKUP(twoFiveTwo[[#This Row],[Date]],EURUSD[Date],EURUSD[Change %])</f>
        <v>-5.0667894979270741E-3</v>
      </c>
      <c r="D122" s="5">
        <f ca="1">_xlfn.XLOOKUP(twoFiveTwo[[#This Row],[Date]],SGDJPY[Date],SGDJPY[Change %])</f>
        <v>6.4980716092639718E-4</v>
      </c>
      <c r="E122" s="5">
        <f ca="1">_xlfn.XLOOKUP(twoFiveTwo[[#This Row],[Date]],GBPUSD[Date],GBPUSD[Change %])</f>
        <v>-4.1536050156740457E-3</v>
      </c>
    </row>
    <row r="123" spans="1:5" x14ac:dyDescent="0.35">
      <c r="A123" s="1" vm="212">
        <v>45442</v>
      </c>
      <c r="B123" s="5">
        <f ca="1">_xlfn.XLOOKUP(twoFiveTwo[[#This Row],[Date]],USDJPY[Date],USDJPY[Change %])</f>
        <v>-5.0126903553298985E-3</v>
      </c>
      <c r="C123" s="5">
        <f ca="1">_xlfn.XLOOKUP(twoFiveTwo[[#This Row],[Date]],EURUSD[Date],EURUSD[Change %])</f>
        <v>2.9629629629628423E-3</v>
      </c>
      <c r="D123" s="5">
        <f ca="1">_xlfn.XLOOKUP(twoFiveTwo[[#This Row],[Date]],SGDJPY[Date],SGDJPY[Change %])</f>
        <v>-3.7187381510793787E-3</v>
      </c>
      <c r="E123" s="5">
        <f ca="1">_xlfn.XLOOKUP(twoFiveTwo[[#This Row],[Date]],GBPUSD[Date],GBPUSD[Change %])</f>
        <v>1.810025969937805E-3</v>
      </c>
    </row>
    <row r="124" spans="1:5" x14ac:dyDescent="0.35">
      <c r="A124" s="1" vm="213">
        <v>45443</v>
      </c>
      <c r="B124" s="5">
        <f ca="1">_xlfn.XLOOKUP(twoFiveTwo[[#This Row],[Date]],USDJPY[Date],USDJPY[Change %])</f>
        <v>3.1885721573879215E-3</v>
      </c>
      <c r="C124" s="5">
        <f ca="1">_xlfn.XLOOKUP(twoFiveTwo[[#This Row],[Date]],EURUSD[Date],EURUSD[Change %])</f>
        <v>8.3087149187603671E-4</v>
      </c>
      <c r="D124" s="5">
        <f ca="1">_xlfn.XLOOKUP(twoFiveTwo[[#This Row],[Date]],SGDJPY[Date],SGDJPY[Change %])</f>
        <v>2.2240725066580581E-3</v>
      </c>
      <c r="E124" s="5">
        <f ca="1">_xlfn.XLOOKUP(twoFiveTwo[[#This Row],[Date]],GBPUSD[Date],GBPUSD[Change %])</f>
        <v>7.0699135899459774E-4</v>
      </c>
    </row>
    <row r="125" spans="1:5" x14ac:dyDescent="0.35">
      <c r="A125" s="1" vm="214">
        <v>45446</v>
      </c>
      <c r="B125" s="5">
        <f ca="1">_xlfn.XLOOKUP(twoFiveTwo[[#This Row],[Date]],USDJPY[Date],USDJPY[Change %])</f>
        <v>-7.6918187019261834E-3</v>
      </c>
      <c r="C125" s="5">
        <f ca="1">_xlfn.XLOOKUP(twoFiveTwo[[#This Row],[Date]],EURUSD[Date],EURUSD[Change %])</f>
        <v>5.6267871967530612E-3</v>
      </c>
      <c r="D125" s="5">
        <f ca="1">_xlfn.XLOOKUP(twoFiveTwo[[#This Row],[Date]],SGDJPY[Date],SGDJPY[Change %])</f>
        <v>-3.7114486161967113E-3</v>
      </c>
      <c r="E125" s="5">
        <f ca="1">_xlfn.XLOOKUP(twoFiveTwo[[#This Row],[Date]],GBPUSD[Date],GBPUSD[Change %])</f>
        <v>5.1024413219247586E-3</v>
      </c>
    </row>
    <row r="126" spans="1:5" x14ac:dyDescent="0.35">
      <c r="A126" s="1" vm="215">
        <v>45447</v>
      </c>
      <c r="B126" s="5">
        <f ca="1">_xlfn.XLOOKUP(twoFiveTwo[[#This Row],[Date]],USDJPY[Date],USDJPY[Change %])</f>
        <v>-7.8795643818064687E-3</v>
      </c>
      <c r="C126" s="5">
        <f ca="1">_xlfn.XLOOKUP(twoFiveTwo[[#This Row],[Date]],EURUSD[Date],EURUSD[Change %])</f>
        <v>-2.2014309301045289E-3</v>
      </c>
      <c r="D126" s="5">
        <f ca="1">_xlfn.XLOOKUP(twoFiveTwo[[#This Row],[Date]],SGDJPY[Date],SGDJPY[Change %])</f>
        <v>-8.5422620351383143E-3</v>
      </c>
      <c r="E126" s="5">
        <f ca="1">_xlfn.XLOOKUP(twoFiveTwo[[#This Row],[Date]],GBPUSD[Date],GBPUSD[Change %])</f>
        <v>-3.2021243361449489E-3</v>
      </c>
    </row>
    <row r="127" spans="1:5" x14ac:dyDescent="0.35">
      <c r="A127" s="1" vm="216">
        <v>45448</v>
      </c>
      <c r="B127" s="5">
        <f ca="1">_xlfn.XLOOKUP(twoFiveTwo[[#This Row],[Date]],USDJPY[Date],USDJPY[Change %])</f>
        <v>7.9421450248594941E-3</v>
      </c>
      <c r="C127" s="5">
        <f ca="1">_xlfn.XLOOKUP(twoFiveTwo[[#This Row],[Date]],EURUSD[Date],EURUSD[Change %])</f>
        <v>-9.1928663357245064E-4</v>
      </c>
      <c r="D127" s="5">
        <f ca="1">_xlfn.XLOOKUP(twoFiveTwo[[#This Row],[Date]],SGDJPY[Date],SGDJPY[Change %])</f>
        <v>6.4475446622714299E-3</v>
      </c>
      <c r="E127" s="5">
        <f ca="1">_xlfn.XLOOKUP(twoFiveTwo[[#This Row],[Date]],GBPUSD[Date],GBPUSD[Change %])</f>
        <v>1.7237326647339809E-3</v>
      </c>
    </row>
    <row r="128" spans="1:5" x14ac:dyDescent="0.35">
      <c r="A128" s="1" vm="217">
        <v>45449</v>
      </c>
      <c r="B128" s="5">
        <f ca="1">_xlfn.XLOOKUP(twoFiveTwo[[#This Row],[Date]],USDJPY[Date],USDJPY[Change %])</f>
        <v>-3.2030749519538757E-3</v>
      </c>
      <c r="C128" s="5">
        <f ca="1">_xlfn.XLOOKUP(twoFiveTwo[[#This Row],[Date]],EURUSD[Date],EURUSD[Change %])</f>
        <v>1.8402649981597366E-3</v>
      </c>
      <c r="D128" s="5">
        <f ca="1">_xlfn.XLOOKUP(twoFiveTwo[[#This Row],[Date]],SGDJPY[Date],SGDJPY[Change %])</f>
        <v>-9.8085559990772125E-4</v>
      </c>
      <c r="E128" s="5">
        <f ca="1">_xlfn.XLOOKUP(twoFiveTwo[[#This Row],[Date]],GBPUSD[Date],GBPUSD[Change %])</f>
        <v>2.3464998044580912E-4</v>
      </c>
    </row>
    <row r="129" spans="1:5" x14ac:dyDescent="0.35">
      <c r="A129" s="1" vm="218">
        <v>45450</v>
      </c>
      <c r="B129" s="5">
        <f ca="1">_xlfn.XLOOKUP(twoFiveTwo[[#This Row],[Date]],USDJPY[Date],USDJPY[Change %])</f>
        <v>7.0694087403598612E-3</v>
      </c>
      <c r="C129" s="5">
        <f ca="1">_xlfn.XLOOKUP(twoFiveTwo[[#This Row],[Date]],EURUSD[Date],EURUSD[Change %])</f>
        <v>-8.0822924320351937E-3</v>
      </c>
      <c r="D129" s="5">
        <f ca="1">_xlfn.XLOOKUP(twoFiveTwo[[#This Row],[Date]],SGDJPY[Date],SGDJPY[Change %])</f>
        <v>2.6003055315747927E-3</v>
      </c>
      <c r="E129" s="5">
        <f ca="1">_xlfn.XLOOKUP(twoFiveTwo[[#This Row],[Date]],GBPUSD[Date],GBPUSD[Change %])</f>
        <v>-5.2392868314043856E-3</v>
      </c>
    </row>
    <row r="130" spans="1:5" x14ac:dyDescent="0.35">
      <c r="A130" s="1" vm="219">
        <v>45453</v>
      </c>
      <c r="B130" s="5">
        <f ca="1">_xlfn.XLOOKUP(twoFiveTwo[[#This Row],[Date]],USDJPY[Date],USDJPY[Change %])</f>
        <v>2.0421186981494678E-3</v>
      </c>
      <c r="C130" s="5">
        <f ca="1">_xlfn.XLOOKUP(twoFiveTwo[[#This Row],[Date]],EURUSD[Date],EURUSD[Change %])</f>
        <v>-3.4259259259259594E-3</v>
      </c>
      <c r="D130" s="5">
        <f ca="1">_xlfn.XLOOKUP(twoFiveTwo[[#This Row],[Date]],SGDJPY[Date],SGDJPY[Change %])</f>
        <v>1.4494954375406063E-3</v>
      </c>
      <c r="E130" s="5">
        <f ca="1">_xlfn.XLOOKUP(twoFiveTwo[[#This Row],[Date]],GBPUSD[Date],GBPUSD[Change %])</f>
        <v>7.0749154940641531E-4</v>
      </c>
    </row>
    <row r="131" spans="1:5" x14ac:dyDescent="0.35">
      <c r="A131" s="1" vm="220">
        <v>45454</v>
      </c>
      <c r="B131" s="5">
        <f ca="1">_xlfn.XLOOKUP(twoFiveTwo[[#This Row],[Date]],USDJPY[Date],USDJPY[Change %])</f>
        <v>3.1843077314980858E-4</v>
      </c>
      <c r="C131" s="5">
        <f ca="1">_xlfn.XLOOKUP(twoFiveTwo[[#This Row],[Date]],EURUSD[Date],EURUSD[Change %])</f>
        <v>-2.2298615627612726E-3</v>
      </c>
      <c r="D131" s="5">
        <f ca="1">_xlfn.XLOOKUP(twoFiveTwo[[#This Row],[Date]],SGDJPY[Date],SGDJPY[Change %])</f>
        <v>9.6493162770078394E-5</v>
      </c>
      <c r="E131" s="5">
        <f ca="1">_xlfn.XLOOKUP(twoFiveTwo[[#This Row],[Date]],GBPUSD[Date],GBPUSD[Change %])</f>
        <v>7.8554595443842262E-4</v>
      </c>
    </row>
    <row r="132" spans="1:5" x14ac:dyDescent="0.35">
      <c r="A132" s="1" vm="221">
        <v>45455</v>
      </c>
      <c r="B132" s="5">
        <f ca="1">_xlfn.XLOOKUP(twoFiveTwo[[#This Row],[Date]],USDJPY[Date],USDJPY[Change %])</f>
        <v>-2.2919717323485402E-3</v>
      </c>
      <c r="C132" s="5">
        <f ca="1">_xlfn.XLOOKUP(twoFiveTwo[[#This Row],[Date]],EURUSD[Date],EURUSD[Change %])</f>
        <v>6.3320607132879379E-3</v>
      </c>
      <c r="D132" s="5">
        <f ca="1">_xlfn.XLOOKUP(twoFiveTwo[[#This Row],[Date]],SGDJPY[Date],SGDJPY[Change %])</f>
        <v>2.0029014072859238E-3</v>
      </c>
      <c r="E132" s="5">
        <f ca="1">_xlfn.XLOOKUP(twoFiveTwo[[#This Row],[Date]],GBPUSD[Date],GBPUSD[Change %])</f>
        <v>4.3956043956044346E-3</v>
      </c>
    </row>
    <row r="133" spans="1:5" x14ac:dyDescent="0.35">
      <c r="A133" s="1" vm="222">
        <v>45456</v>
      </c>
      <c r="B133" s="5">
        <f ca="1">_xlfn.XLOOKUP(twoFiveTwo[[#This Row],[Date]],USDJPY[Date],USDJPY[Change %])</f>
        <v>1.9781762491225974E-3</v>
      </c>
      <c r="C133" s="5">
        <f ca="1">_xlfn.XLOOKUP(twoFiveTwo[[#This Row],[Date]],EURUSD[Date],EURUSD[Change %])</f>
        <v>-6.6623484778385259E-3</v>
      </c>
      <c r="D133" s="5">
        <f ca="1">_xlfn.XLOOKUP(twoFiveTwo[[#This Row],[Date]],SGDJPY[Date],SGDJPY[Change %])</f>
        <v>-8.3996695155620193E-4</v>
      </c>
      <c r="E133" s="5">
        <f ca="1">_xlfn.XLOOKUP(twoFiveTwo[[#This Row],[Date]],GBPUSD[Date],GBPUSD[Change %])</f>
        <v>-2.8915286026883684E-3</v>
      </c>
    </row>
    <row r="134" spans="1:5" x14ac:dyDescent="0.35">
      <c r="A134" s="1" vm="223">
        <v>45457</v>
      </c>
      <c r="B134" s="5">
        <f ca="1">_xlfn.XLOOKUP(twoFiveTwo[[#This Row],[Date]],USDJPY[Date],USDJPY[Change %])</f>
        <v>2.2290154120493842E-3</v>
      </c>
      <c r="C134" s="5">
        <f ca="1">_xlfn.XLOOKUP(twoFiveTwo[[#This Row],[Date]],EURUSD[Date],EURUSD[Change %])</f>
        <v>-3.2603632976244403E-3</v>
      </c>
      <c r="D134" s="5">
        <f ca="1">_xlfn.XLOOKUP(twoFiveTwo[[#This Row],[Date]],SGDJPY[Date],SGDJPY[Change %])</f>
        <v>5.9974323761544535E-4</v>
      </c>
      <c r="E134" s="5">
        <f ca="1">_xlfn.XLOOKUP(twoFiveTwo[[#This Row],[Date]],GBPUSD[Date],GBPUSD[Change %])</f>
        <v>-6.0349557175327535E-3</v>
      </c>
    </row>
    <row r="135" spans="1:5" x14ac:dyDescent="0.35">
      <c r="A135" s="1" vm="224">
        <v>45460</v>
      </c>
      <c r="B135" s="5">
        <f ca="1">_xlfn.XLOOKUP(twoFiveTwo[[#This Row],[Date]],USDJPY[Date],USDJPY[Change %])</f>
        <v>2.1605134396645064E-3</v>
      </c>
      <c r="C135" s="5">
        <f ca="1">_xlfn.XLOOKUP(twoFiveTwo[[#This Row],[Date]],EURUSD[Date],EURUSD[Change %])</f>
        <v>3.1775700934578012E-3</v>
      </c>
      <c r="D135" s="5">
        <f ca="1">_xlfn.XLOOKUP(twoFiveTwo[[#This Row],[Date]],SGDJPY[Date],SGDJPY[Change %])</f>
        <v>2.9762800541078662E-3</v>
      </c>
      <c r="E135" s="5">
        <f ca="1">_xlfn.XLOOKUP(twoFiveTwo[[#This Row],[Date]],GBPUSD[Date],GBPUSD[Change %])</f>
        <v>1.6558902381327793E-3</v>
      </c>
    </row>
    <row r="136" spans="1:5" x14ac:dyDescent="0.35">
      <c r="A136" s="1" vm="225">
        <v>45461</v>
      </c>
      <c r="B136" s="5">
        <f ca="1">_xlfn.XLOOKUP(twoFiveTwo[[#This Row],[Date]],USDJPY[Date],USDJPY[Change %])</f>
        <v>8.8770528184634045E-4</v>
      </c>
      <c r="C136" s="5">
        <f ca="1">_xlfn.XLOOKUP(twoFiveTwo[[#This Row],[Date]],EURUSD[Date],EURUSD[Change %])</f>
        <v>3.7264766163608911E-4</v>
      </c>
      <c r="D136" s="5">
        <f ca="1">_xlfn.XLOOKUP(twoFiveTwo[[#This Row],[Date]],SGDJPY[Date],SGDJPY[Change %])</f>
        <v>1.7765248361944668E-3</v>
      </c>
      <c r="E136" s="5">
        <f ca="1">_xlfn.XLOOKUP(twoFiveTwo[[#This Row],[Date]],GBPUSD[Date],GBPUSD[Change %])</f>
        <v>3.1488624734311263E-4</v>
      </c>
    </row>
    <row r="137" spans="1:5" x14ac:dyDescent="0.35">
      <c r="A137" s="1" vm="226">
        <v>45462</v>
      </c>
      <c r="B137" s="5">
        <f ca="1">_xlfn.XLOOKUP(twoFiveTwo[[#This Row],[Date]],USDJPY[Date],USDJPY[Change %])</f>
        <v>1.457079505860109E-3</v>
      </c>
      <c r="C137" s="5">
        <f ca="1">_xlfn.XLOOKUP(twoFiveTwo[[#This Row],[Date]],EURUSD[Date],EURUSD[Change %])</f>
        <v>3.7250884708507723E-4</v>
      </c>
      <c r="D137" s="5">
        <f ca="1">_xlfn.XLOOKUP(twoFiveTwo[[#This Row],[Date]],SGDJPY[Date],SGDJPY[Change %])</f>
        <v>1.5311615773446177E-3</v>
      </c>
      <c r="E137" s="5">
        <f ca="1">_xlfn.XLOOKUP(twoFiveTwo[[#This Row],[Date]],GBPUSD[Date],GBPUSD[Change %])</f>
        <v>7.8696781301653578E-4</v>
      </c>
    </row>
    <row r="138" spans="1:5" x14ac:dyDescent="0.35">
      <c r="A138" s="1" vm="227">
        <v>45463</v>
      </c>
      <c r="B138" s="5">
        <f ca="1">_xlfn.XLOOKUP(twoFiveTwo[[#This Row],[Date]],USDJPY[Date],USDJPY[Change %])</f>
        <v>5.1872469635627092E-3</v>
      </c>
      <c r="C138" s="5">
        <f ca="1">_xlfn.XLOOKUP(twoFiveTwo[[#This Row],[Date]],EURUSD[Date],EURUSD[Change %])</f>
        <v>-3.9098864271085287E-3</v>
      </c>
      <c r="D138" s="5">
        <f ca="1">_xlfn.XLOOKUP(twoFiveTwo[[#This Row],[Date]],SGDJPY[Date],SGDJPY[Change %])</f>
        <v>2.5158458121508362E-3</v>
      </c>
      <c r="E138" s="5">
        <f ca="1">_xlfn.XLOOKUP(twoFiveTwo[[#This Row],[Date]],GBPUSD[Date],GBPUSD[Change %])</f>
        <v>-4.8753636864040124E-3</v>
      </c>
    </row>
    <row r="139" spans="1:5" x14ac:dyDescent="0.35">
      <c r="A139" s="1" vm="228">
        <v>45464</v>
      </c>
      <c r="B139" s="5">
        <f ca="1">_xlfn.XLOOKUP(twoFiveTwo[[#This Row],[Date]],USDJPY[Date],USDJPY[Change %])</f>
        <v>5.6010069225927396E-3</v>
      </c>
      <c r="C139" s="5">
        <f ca="1">_xlfn.XLOOKUP(twoFiveTwo[[#This Row],[Date]],EURUSD[Date],EURUSD[Change %])</f>
        <v>-8.4112149532721762E-4</v>
      </c>
      <c r="D139" s="5">
        <f ca="1">_xlfn.XLOOKUP(twoFiveTwo[[#This Row],[Date]],SGDJPY[Date],SGDJPY[Change %])</f>
        <v>4.858808978056026E-3</v>
      </c>
      <c r="E139" s="5">
        <f ca="1">_xlfn.XLOOKUP(twoFiveTwo[[#This Row],[Date]],GBPUSD[Date],GBPUSD[Change %])</f>
        <v>-7.9020150138294106E-4</v>
      </c>
    </row>
    <row r="140" spans="1:5" x14ac:dyDescent="0.35">
      <c r="A140" s="1" vm="229">
        <v>45467</v>
      </c>
      <c r="B140" s="5">
        <f ca="1">_xlfn.XLOOKUP(twoFiveTwo[[#This Row],[Date]],USDJPY[Date],USDJPY[Change %])</f>
        <v>-1.2516427811501887E-3</v>
      </c>
      <c r="C140" s="5">
        <f ca="1">_xlfn.XLOOKUP(twoFiveTwo[[#This Row],[Date]],EURUSD[Date],EURUSD[Change %])</f>
        <v>3.8350014030492869E-3</v>
      </c>
      <c r="D140" s="5">
        <f ca="1">_xlfn.XLOOKUP(twoFiveTwo[[#This Row],[Date]],SGDJPY[Date],SGDJPY[Change %])</f>
        <v>6.6761280493234185E-4</v>
      </c>
      <c r="E140" s="5">
        <f ca="1">_xlfn.XLOOKUP(twoFiveTwo[[#This Row],[Date]],GBPUSD[Date],GBPUSD[Change %])</f>
        <v>2.6888098062475838E-3</v>
      </c>
    </row>
    <row r="141" spans="1:5" x14ac:dyDescent="0.35">
      <c r="A141" s="1" vm="230">
        <v>45468</v>
      </c>
      <c r="B141" s="5">
        <f ca="1">_xlfn.XLOOKUP(twoFiveTwo[[#This Row],[Date]],USDJPY[Date],USDJPY[Change %])</f>
        <v>6.2660567704739842E-4</v>
      </c>
      <c r="C141" s="5">
        <f ca="1">_xlfn.XLOOKUP(twoFiveTwo[[#This Row],[Date]],EURUSD[Date],EURUSD[Change %])</f>
        <v>-1.7704062616474216E-3</v>
      </c>
      <c r="D141" s="5">
        <f ca="1">_xlfn.XLOOKUP(twoFiveTwo[[#This Row],[Date]],SGDJPY[Date],SGDJPY[Change %])</f>
        <v>-8.5027814183287313E-4</v>
      </c>
      <c r="E141" s="5">
        <f ca="1">_xlfn.XLOOKUP(twoFiveTwo[[#This Row],[Date]],GBPUSD[Date],GBPUSD[Change %])</f>
        <v>3.1548229355623939E-4</v>
      </c>
    </row>
    <row r="142" spans="1:5" x14ac:dyDescent="0.35">
      <c r="A142" s="1" vm="231">
        <v>45469</v>
      </c>
      <c r="B142" s="5">
        <f ca="1">_xlfn.XLOOKUP(twoFiveTwo[[#This Row],[Date]],USDJPY[Date],USDJPY[Change %])</f>
        <v>6.8883461707057066E-3</v>
      </c>
      <c r="C142" s="5">
        <f ca="1">_xlfn.XLOOKUP(twoFiveTwo[[#This Row],[Date]],EURUSD[Date],EURUSD[Change %])</f>
        <v>-3.1737141790346753E-3</v>
      </c>
      <c r="D142" s="5">
        <f ca="1">_xlfn.XLOOKUP(twoFiveTwo[[#This Row],[Date]],SGDJPY[Date],SGDJPY[Change %])</f>
        <v>4.0725905324148848E-3</v>
      </c>
      <c r="E142" s="5">
        <f ca="1">_xlfn.XLOOKUP(twoFiveTwo[[#This Row],[Date]],GBPUSD[Date],GBPUSD[Change %])</f>
        <v>-4.9672790349286232E-3</v>
      </c>
    </row>
    <row r="143" spans="1:5" x14ac:dyDescent="0.35">
      <c r="A143" s="1" vm="232">
        <v>45470</v>
      </c>
      <c r="B143" s="5">
        <f ca="1">_xlfn.XLOOKUP(twoFiveTwo[[#This Row],[Date]],USDJPY[Date],USDJPY[Change %])</f>
        <v>-3.109646122270225E-4</v>
      </c>
      <c r="C143" s="5">
        <f ca="1">_xlfn.XLOOKUP(twoFiveTwo[[#This Row],[Date]],EURUSD[Date],EURUSD[Change %])</f>
        <v>2.1537597153291213E-3</v>
      </c>
      <c r="D143" s="5">
        <f ca="1">_xlfn.XLOOKUP(twoFiveTwo[[#This Row],[Date]],SGDJPY[Date],SGDJPY[Change %])</f>
        <v>-3.8448180725043197E-4</v>
      </c>
      <c r="E143" s="5">
        <f ca="1">_xlfn.XLOOKUP(twoFiveTwo[[#This Row],[Date]],GBPUSD[Date],GBPUSD[Change %])</f>
        <v>1.4263074484944722E-3</v>
      </c>
    </row>
    <row r="144" spans="1:5" x14ac:dyDescent="0.35">
      <c r="A144" s="1" vm="233">
        <v>45471</v>
      </c>
      <c r="B144" s="5">
        <f ca="1">_xlfn.XLOOKUP(twoFiveTwo[[#This Row],[Date]],USDJPY[Date],USDJPY[Change %])</f>
        <v>5.5991041433372775E-4</v>
      </c>
      <c r="C144" s="5">
        <f ca="1">_xlfn.XLOOKUP(twoFiveTwo[[#This Row],[Date]],EURUSD[Date],EURUSD[Change %])</f>
        <v>1.0278452625676312E-3</v>
      </c>
      <c r="D144" s="5">
        <f ca="1">_xlfn.XLOOKUP(twoFiveTwo[[#This Row],[Date]],SGDJPY[Date],SGDJPY[Change %])</f>
        <v>2.256212403504499E-3</v>
      </c>
      <c r="E144" s="5">
        <f ca="1">_xlfn.XLOOKUP(twoFiveTwo[[#This Row],[Date]],GBPUSD[Date],GBPUSD[Change %])</f>
        <v>3.1650577623038132E-4</v>
      </c>
    </row>
    <row r="145" spans="1:5" x14ac:dyDescent="0.35">
      <c r="A145" s="1" vm="234">
        <v>45474</v>
      </c>
      <c r="B145" s="5">
        <f ca="1">_xlfn.XLOOKUP(twoFiveTwo[[#This Row],[Date]],USDJPY[Date],USDJPY[Change %])</f>
        <v>3.8550021762107571E-3</v>
      </c>
      <c r="C145" s="5">
        <f ca="1">_xlfn.XLOOKUP(twoFiveTwo[[#This Row],[Date]],EURUSD[Date],EURUSD[Change %])</f>
        <v>2.3336133669375233E-3</v>
      </c>
      <c r="D145" s="5">
        <f ca="1">_xlfn.XLOOKUP(twoFiveTwo[[#This Row],[Date]],SGDJPY[Date],SGDJPY[Change %])</f>
        <v>2.5986294148655437E-3</v>
      </c>
      <c r="E145" s="5">
        <f ca="1">_xlfn.XLOOKUP(twoFiveTwo[[#This Row],[Date]],GBPUSD[Date],GBPUSD[Change %])</f>
        <v>3.9550704002526887E-4</v>
      </c>
    </row>
    <row r="146" spans="1:5" x14ac:dyDescent="0.35">
      <c r="A146" s="1" vm="235">
        <v>45475</v>
      </c>
      <c r="B146" s="5">
        <f ca="1">_xlfn.XLOOKUP(twoFiveTwo[[#This Row],[Date]],USDJPY[Date],USDJPY[Change %])</f>
        <v>-6.1938680706044634E-5</v>
      </c>
      <c r="C146" s="5">
        <f ca="1">_xlfn.XLOOKUP(twoFiveTwo[[#This Row],[Date]],EURUSD[Date],EURUSD[Change %])</f>
        <v>5.5876327062761579E-4</v>
      </c>
      <c r="D146" s="5">
        <f ca="1">_xlfn.XLOOKUP(twoFiveTwo[[#This Row],[Date]],SGDJPY[Date],SGDJPY[Change %])</f>
        <v>1.4124602719259687E-3</v>
      </c>
      <c r="E146" s="5">
        <f ca="1">_xlfn.XLOOKUP(twoFiveTwo[[#This Row],[Date]],GBPUSD[Date],GBPUSD[Change %])</f>
        <v>2.9255950027674837E-3</v>
      </c>
    </row>
    <row r="147" spans="1:5" x14ac:dyDescent="0.35">
      <c r="A147" s="1" vm="236">
        <v>45476</v>
      </c>
      <c r="B147" s="5">
        <f ca="1">_xlfn.XLOOKUP(twoFiveTwo[[#This Row],[Date]],USDJPY[Date],USDJPY[Change %])</f>
        <v>1.4866204162537729E-3</v>
      </c>
      <c r="C147" s="5">
        <f ca="1">_xlfn.XLOOKUP(twoFiveTwo[[#This Row],[Date]],EURUSD[Date],EURUSD[Change %])</f>
        <v>3.909158600148903E-3</v>
      </c>
      <c r="D147" s="5">
        <f ca="1">_xlfn.XLOOKUP(twoFiveTwo[[#This Row],[Date]],SGDJPY[Date],SGDJPY[Change %])</f>
        <v>3.0393528144256046E-3</v>
      </c>
      <c r="E147" s="5">
        <f ca="1">_xlfn.XLOOKUP(twoFiveTwo[[#This Row],[Date]],GBPUSD[Date],GBPUSD[Change %])</f>
        <v>4.4150110375276328E-3</v>
      </c>
    </row>
    <row r="148" spans="1:5" x14ac:dyDescent="0.35">
      <c r="A148" s="1" vm="237">
        <v>45477</v>
      </c>
      <c r="B148" s="5">
        <f ca="1">_xlfn.XLOOKUP(twoFiveTwo[[#This Row],[Date]],USDJPY[Date],USDJPY[Change %])</f>
        <v>-2.6595744680851484E-3</v>
      </c>
      <c r="C148" s="5">
        <f ca="1">_xlfn.XLOOKUP(twoFiveTwo[[#This Row],[Date]],EURUSD[Date],EURUSD[Change %])</f>
        <v>2.2251066196921545E-3</v>
      </c>
      <c r="D148" s="5">
        <f ca="1">_xlfn.XLOOKUP(twoFiveTwo[[#This Row],[Date]],SGDJPY[Date],SGDJPY[Change %])</f>
        <v>-1.3316549455906395E-3</v>
      </c>
      <c r="E148" s="5">
        <f ca="1">_xlfn.XLOOKUP(twoFiveTwo[[#This Row],[Date]],GBPUSD[Date],GBPUSD[Change %])</f>
        <v>1.3343799058085045E-3</v>
      </c>
    </row>
    <row r="149" spans="1:5" x14ac:dyDescent="0.35">
      <c r="A149" s="1" vm="238">
        <v>45478</v>
      </c>
      <c r="B149" s="5">
        <f ca="1">_xlfn.XLOOKUP(twoFiveTwo[[#This Row],[Date]],USDJPY[Date],USDJPY[Change %])</f>
        <v>-3.2868217054263637E-3</v>
      </c>
      <c r="C149" s="5">
        <f ca="1">_xlfn.XLOOKUP(twoFiveTwo[[#This Row],[Date]],EURUSD[Date],EURUSD[Change %])</f>
        <v>2.4051803885290803E-3</v>
      </c>
      <c r="D149" s="5">
        <f ca="1">_xlfn.XLOOKUP(twoFiveTwo[[#This Row],[Date]],SGDJPY[Date],SGDJPY[Change %])</f>
        <v>-7.0026073181021005E-4</v>
      </c>
      <c r="E149" s="5">
        <f ca="1">_xlfn.XLOOKUP(twoFiveTwo[[#This Row],[Date]],GBPUSD[Date],GBPUSD[Change %])</f>
        <v>3.9978051265970697E-3</v>
      </c>
    </row>
    <row r="150" spans="1:5" x14ac:dyDescent="0.35">
      <c r="A150" s="1" vm="239">
        <v>45481</v>
      </c>
      <c r="B150" s="5">
        <f ca="1">_xlfn.XLOOKUP(twoFiveTwo[[#This Row],[Date]],USDJPY[Date],USDJPY[Change %])</f>
        <v>5.5998008959683555E-4</v>
      </c>
      <c r="C150" s="5">
        <f ca="1">_xlfn.XLOOKUP(twoFiveTwo[[#This Row],[Date]],EURUSD[Date],EURUSD[Change %])</f>
        <v>-1.2919896640825451E-3</v>
      </c>
      <c r="D150" s="5">
        <f ca="1">_xlfn.XLOOKUP(twoFiveTwo[[#This Row],[Date]],SGDJPY[Date],SGDJPY[Change %])</f>
        <v>-3.2981474985269306E-4</v>
      </c>
      <c r="E150" s="5">
        <f ca="1">_xlfn.XLOOKUP(twoFiveTwo[[#This Row],[Date]],GBPUSD[Date],GBPUSD[Change %])</f>
        <v>-3.1230480949403182E-4</v>
      </c>
    </row>
    <row r="151" spans="1:5" x14ac:dyDescent="0.35">
      <c r="A151" s="1" vm="240">
        <v>45482</v>
      </c>
      <c r="B151" s="5">
        <f ca="1">_xlfn.XLOOKUP(twoFiveTwo[[#This Row],[Date]],USDJPY[Date],USDJPY[Change %])</f>
        <v>3.109259374417014E-3</v>
      </c>
      <c r="C151" s="5">
        <f ca="1">_xlfn.XLOOKUP(twoFiveTwo[[#This Row],[Date]],EURUSD[Date],EURUSD[Change %])</f>
        <v>-9.2404361485872474E-4</v>
      </c>
      <c r="D151" s="5">
        <f ca="1">_xlfn.XLOOKUP(twoFiveTwo[[#This Row],[Date]],SGDJPY[Date],SGDJPY[Change %])</f>
        <v>2.3665509555611209E-3</v>
      </c>
      <c r="E151" s="5">
        <f ca="1">_xlfn.XLOOKUP(twoFiveTwo[[#This Row],[Date]],GBPUSD[Date],GBPUSD[Change %])</f>
        <v>-1.6401124648547257E-3</v>
      </c>
    </row>
    <row r="152" spans="1:5" x14ac:dyDescent="0.35">
      <c r="A152" s="1" vm="241">
        <v>45483</v>
      </c>
      <c r="B152" s="5">
        <f ca="1">_xlfn.XLOOKUP(twoFiveTwo[[#This Row],[Date]],USDJPY[Date],USDJPY[Change %])</f>
        <v>2.231727729216944E-3</v>
      </c>
      <c r="C152" s="5">
        <f ca="1">_xlfn.XLOOKUP(twoFiveTwo[[#This Row],[Date]],EURUSD[Date],EURUSD[Change %])</f>
        <v>1.6648168701443062E-3</v>
      </c>
      <c r="D152" s="5">
        <f ca="1">_xlfn.XLOOKUP(twoFiveTwo[[#This Row],[Date]],SGDJPY[Date],SGDJPY[Change %])</f>
        <v>3.7922821029074969E-3</v>
      </c>
      <c r="E152" s="5">
        <f ca="1">_xlfn.XLOOKUP(twoFiveTwo[[#This Row],[Date]],GBPUSD[Date],GBPUSD[Change %])</f>
        <v>4.8501916607994865E-3</v>
      </c>
    </row>
    <row r="153" spans="1:5" x14ac:dyDescent="0.35">
      <c r="A153" s="1" vm="242">
        <v>45484</v>
      </c>
      <c r="B153" s="5">
        <f ca="1">_xlfn.XLOOKUP(twoFiveTwo[[#This Row],[Date]],USDJPY[Date],USDJPY[Change %])</f>
        <v>-1.7752211294612335E-2</v>
      </c>
      <c r="C153" s="5">
        <f ca="1">_xlfn.XLOOKUP(twoFiveTwo[[#This Row],[Date]],EURUSD[Date],EURUSD[Change %])</f>
        <v>3.2317636195753081E-3</v>
      </c>
      <c r="D153" s="5">
        <f ca="1">_xlfn.XLOOKUP(twoFiveTwo[[#This Row],[Date]],SGDJPY[Date],SGDJPY[Change %])</f>
        <v>-1.3499013793540814E-2</v>
      </c>
      <c r="E153" s="5">
        <f ca="1">_xlfn.XLOOKUP(twoFiveTwo[[#This Row],[Date]],GBPUSD[Date],GBPUSD[Change %])</f>
        <v>4.9824834565978682E-3</v>
      </c>
    </row>
    <row r="154" spans="1:5" x14ac:dyDescent="0.35">
      <c r="A154" s="1" vm="243">
        <v>45485</v>
      </c>
      <c r="B154" s="5">
        <f ca="1">_xlfn.XLOOKUP(twoFiveTwo[[#This Row],[Date]],USDJPY[Date],USDJPY[Change %])</f>
        <v>-5.7304785894208123E-3</v>
      </c>
      <c r="C154" s="5">
        <f ca="1">_xlfn.XLOOKUP(twoFiveTwo[[#This Row],[Date]],EURUSD[Date],EURUSD[Change %])</f>
        <v>3.7735849056603704E-3</v>
      </c>
      <c r="D154" s="5">
        <f ca="1">_xlfn.XLOOKUP(twoFiveTwo[[#This Row],[Date]],SGDJPY[Date],SGDJPY[Change %])</f>
        <v>-4.2593032706813583E-3</v>
      </c>
      <c r="E154" s="5">
        <f ca="1">_xlfn.XLOOKUP(twoFiveTwo[[#This Row],[Date]],GBPUSD[Date],GBPUSD[Change %])</f>
        <v>6.4296227438221196E-3</v>
      </c>
    </row>
    <row r="155" spans="1:5" x14ac:dyDescent="0.35">
      <c r="A155" s="1" vm="244">
        <v>45488</v>
      </c>
      <c r="B155" s="5">
        <f ca="1">_xlfn.XLOOKUP(twoFiveTwo[[#This Row],[Date]],USDJPY[Date],USDJPY[Change %])</f>
        <v>7.600228006840494E-4</v>
      </c>
      <c r="C155" s="5">
        <f ca="1">_xlfn.XLOOKUP(twoFiveTwo[[#This Row],[Date]],EURUSD[Date],EURUSD[Change %])</f>
        <v>-1.1003117549973317E-3</v>
      </c>
      <c r="D155" s="5">
        <f ca="1">_xlfn.XLOOKUP(twoFiveTwo[[#This Row],[Date]],SGDJPY[Date],SGDJPY[Change %])</f>
        <v>-1.2503004713258876E-3</v>
      </c>
      <c r="E155" s="5">
        <f ca="1">_xlfn.XLOOKUP(twoFiveTwo[[#This Row],[Date]],GBPUSD[Date],GBPUSD[Change %])</f>
        <v>-2.0012315270935468E-3</v>
      </c>
    </row>
    <row r="156" spans="1:5" x14ac:dyDescent="0.35">
      <c r="A156" s="1" vm="245">
        <v>45489</v>
      </c>
      <c r="B156" s="5">
        <f ca="1">_xlfn.XLOOKUP(twoFiveTwo[[#This Row],[Date]],USDJPY[Date],USDJPY[Change %])</f>
        <v>2.0884754129486269E-3</v>
      </c>
      <c r="C156" s="5">
        <f ca="1">_xlfn.XLOOKUP(twoFiveTwo[[#This Row],[Date]],EURUSD[Date],EURUSD[Change %])</f>
        <v>2.753809436386699E-4</v>
      </c>
      <c r="D156" s="5">
        <f ca="1">_xlfn.XLOOKUP(twoFiveTwo[[#This Row],[Date]],SGDJPY[Date],SGDJPY[Change %])</f>
        <v>1.6405223477583739E-3</v>
      </c>
      <c r="E156" s="5">
        <f ca="1">_xlfn.XLOOKUP(twoFiveTwo[[#This Row],[Date]],GBPUSD[Date],GBPUSD[Change %])</f>
        <v>-7.7124787906824761E-5</v>
      </c>
    </row>
    <row r="157" spans="1:5" x14ac:dyDescent="0.35">
      <c r="A157" s="1" vm="246">
        <v>45490</v>
      </c>
      <c r="B157" s="5">
        <f ca="1">_xlfn.XLOOKUP(twoFiveTwo[[#This Row],[Date]],USDJPY[Date],USDJPY[Change %])</f>
        <v>-1.3767841354048294E-2</v>
      </c>
      <c r="C157" s="5">
        <f ca="1">_xlfn.XLOOKUP(twoFiveTwo[[#This Row],[Date]],EURUSD[Date],EURUSD[Change %])</f>
        <v>3.670735064696709E-3</v>
      </c>
      <c r="D157" s="5">
        <f ca="1">_xlfn.XLOOKUP(twoFiveTwo[[#This Row],[Date]],SGDJPY[Date],SGDJPY[Change %])</f>
        <v>-1.1487772696629357E-2</v>
      </c>
      <c r="E157" s="5">
        <f ca="1">_xlfn.XLOOKUP(twoFiveTwo[[#This Row],[Date]],GBPUSD[Date],GBPUSD[Change %])</f>
        <v>3.3166216737369617E-3</v>
      </c>
    </row>
    <row r="158" spans="1:5" x14ac:dyDescent="0.35">
      <c r="A158" s="1" vm="247">
        <v>45491</v>
      </c>
      <c r="B158" s="5">
        <f ca="1">_xlfn.XLOOKUP(twoFiveTwo[[#This Row],[Date]],USDJPY[Date],USDJPY[Change %])</f>
        <v>7.7484631147541495E-3</v>
      </c>
      <c r="C158" s="5">
        <f ca="1">_xlfn.XLOOKUP(twoFiveTwo[[#This Row],[Date]],EURUSD[Date],EURUSD[Change %])</f>
        <v>-3.7487427996708358E-3</v>
      </c>
      <c r="D158" s="5">
        <f ca="1">_xlfn.XLOOKUP(twoFiveTwo[[#This Row],[Date]],SGDJPY[Date],SGDJPY[Change %])</f>
        <v>5.5100133648959626E-3</v>
      </c>
      <c r="E158" s="5">
        <f ca="1">_xlfn.XLOOKUP(twoFiveTwo[[#This Row],[Date]],GBPUSD[Date],GBPUSD[Change %])</f>
        <v>-5.1506765067650126E-3</v>
      </c>
    </row>
    <row r="159" spans="1:5" x14ac:dyDescent="0.35">
      <c r="A159" s="1" vm="248">
        <v>45492</v>
      </c>
      <c r="B159" s="5">
        <f ca="1">_xlfn.XLOOKUP(twoFiveTwo[[#This Row],[Date]],USDJPY[Date],USDJPY[Change %])</f>
        <v>7.625341551757294E-4</v>
      </c>
      <c r="C159" s="5">
        <f ca="1">_xlfn.XLOOKUP(twoFiveTwo[[#This Row],[Date]],EURUSD[Date],EURUSD[Change %])</f>
        <v>-1.7437591776798943E-3</v>
      </c>
      <c r="D159" s="5">
        <f ca="1">_xlfn.XLOOKUP(twoFiveTwo[[#This Row],[Date]],SGDJPY[Date],SGDJPY[Change %])</f>
        <v>-4.3821471495967385E-4</v>
      </c>
      <c r="E159" s="5">
        <f ca="1">_xlfn.XLOOKUP(twoFiveTwo[[#This Row],[Date]],GBPUSD[Date],GBPUSD[Change %])</f>
        <v>-1.7000231821342861E-3</v>
      </c>
    </row>
    <row r="160" spans="1:5" x14ac:dyDescent="0.35">
      <c r="A160" s="1" vm="249">
        <v>45495</v>
      </c>
      <c r="B160" s="5">
        <f ca="1">_xlfn.XLOOKUP(twoFiveTwo[[#This Row],[Date]],USDJPY[Date],USDJPY[Change %])</f>
        <v>-3.1113086545178047E-3</v>
      </c>
      <c r="C160" s="5">
        <f ca="1">_xlfn.XLOOKUP(twoFiveTwo[[#This Row],[Date]],EURUSD[Date],EURUSD[Change %])</f>
        <v>1.1032453801600533E-3</v>
      </c>
      <c r="D160" s="5">
        <f ca="1">_xlfn.XLOOKUP(twoFiveTwo[[#This Row],[Date]],SGDJPY[Date],SGDJPY[Change %])</f>
        <v>-3.18507263196212E-3</v>
      </c>
      <c r="E160" s="5">
        <f ca="1">_xlfn.XLOOKUP(twoFiveTwo[[#This Row],[Date]],GBPUSD[Date],GBPUSD[Change %])</f>
        <v>1.0062698351264469E-3</v>
      </c>
    </row>
    <row r="161" spans="1:5" x14ac:dyDescent="0.35">
      <c r="A161" s="1" vm="250">
        <v>45496</v>
      </c>
      <c r="B161" s="5">
        <f ca="1">_xlfn.XLOOKUP(twoFiveTwo[[#This Row],[Date]],USDJPY[Date],USDJPY[Change %])</f>
        <v>-9.0445859872610671E-3</v>
      </c>
      <c r="C161" s="5">
        <f ca="1">_xlfn.XLOOKUP(twoFiveTwo[[#This Row],[Date]],EURUSD[Date],EURUSD[Change %])</f>
        <v>-3.4897603085683035E-3</v>
      </c>
      <c r="D161" s="5">
        <f ca="1">_xlfn.XLOOKUP(twoFiveTwo[[#This Row],[Date]],SGDJPY[Date],SGDJPY[Change %])</f>
        <v>-8.8235874072696251E-3</v>
      </c>
      <c r="E161" s="5">
        <f ca="1">_xlfn.XLOOKUP(twoFiveTwo[[#This Row],[Date]],GBPUSD[Date],GBPUSD[Change %])</f>
        <v>-2.087844107639905E-3</v>
      </c>
    </row>
    <row r="162" spans="1:5" x14ac:dyDescent="0.35">
      <c r="A162" s="1" vm="251">
        <v>45497</v>
      </c>
      <c r="B162" s="5">
        <f ca="1">_xlfn.XLOOKUP(twoFiveTwo[[#This Row],[Date]],USDJPY[Date],USDJPY[Change %])</f>
        <v>-1.0991129965291219E-2</v>
      </c>
      <c r="C162" s="5">
        <f ca="1">_xlfn.XLOOKUP(twoFiveTwo[[#This Row],[Date]],EURUSD[Date],EURUSD[Change %])</f>
        <v>-1.1058888581696321E-3</v>
      </c>
      <c r="D162" s="5">
        <f ca="1">_xlfn.XLOOKUP(twoFiveTwo[[#This Row],[Date]],SGDJPY[Date],SGDJPY[Change %])</f>
        <v>-9.3164505283589213E-3</v>
      </c>
      <c r="E162" s="5">
        <f ca="1">_xlfn.XLOOKUP(twoFiveTwo[[#This Row],[Date]],GBPUSD[Date],GBPUSD[Change %])</f>
        <v>7.7489345215024403E-5</v>
      </c>
    </row>
    <row r="163" spans="1:5" x14ac:dyDescent="0.35">
      <c r="A163" s="1" vm="252">
        <v>45498</v>
      </c>
      <c r="B163" s="5">
        <f ca="1">_xlfn.XLOOKUP(twoFiveTwo[[#This Row],[Date]],USDJPY[Date],USDJPY[Change %])</f>
        <v>3.8993955936831269E-4</v>
      </c>
      <c r="C163" s="5">
        <f ca="1">_xlfn.XLOOKUP(twoFiveTwo[[#This Row],[Date]],EURUSD[Date],EURUSD[Change %])</f>
        <v>4.6129716763533985E-4</v>
      </c>
      <c r="D163" s="5">
        <f ca="1">_xlfn.XLOOKUP(twoFiveTwo[[#This Row],[Date]],SGDJPY[Date],SGDJPY[Change %])</f>
        <v>4.0860658170913333E-4</v>
      </c>
      <c r="E163" s="5">
        <f ca="1">_xlfn.XLOOKUP(twoFiveTwo[[#This Row],[Date]],GBPUSD[Date],GBPUSD[Change %])</f>
        <v>-4.2615837594917562E-3</v>
      </c>
    </row>
    <row r="164" spans="1:5" x14ac:dyDescent="0.35">
      <c r="A164" s="1" vm="1">
        <v>45499</v>
      </c>
      <c r="B164" s="5">
        <f ca="1">_xlfn.XLOOKUP(twoFiveTwo[[#This Row],[Date]],USDJPY[Date],USDJPY[Change %])</f>
        <v>-1.3642564802183327E-3</v>
      </c>
      <c r="C164" s="5">
        <f ca="1">_xlfn.XLOOKUP(twoFiveTwo[[#This Row],[Date]],EURUSD[Date],EURUSD[Change %])</f>
        <v>1.1988196237551446E-3</v>
      </c>
      <c r="D164" s="5">
        <f ca="1">_xlfn.XLOOKUP(twoFiveTwo[[#This Row],[Date]],SGDJPY[Date],SGDJPY[Change %])</f>
        <v>-9.1811656938596683E-4</v>
      </c>
      <c r="E164" s="5">
        <f ca="1">_xlfn.XLOOKUP(twoFiveTwo[[#This Row],[Date]],GBPUSD[Date],GBPUSD[Change %])</f>
        <v>1.6341140767255396E-3</v>
      </c>
    </row>
    <row r="165" spans="1:5" x14ac:dyDescent="0.35">
      <c r="A165" s="1" vm="2">
        <v>45502</v>
      </c>
      <c r="B165" s="5">
        <f ca="1">_xlfn.XLOOKUP(twoFiveTwo[[#This Row],[Date]],USDJPY[Date],USDJPY[Change %])</f>
        <v>1.8865469685141298E-3</v>
      </c>
      <c r="C165" s="5">
        <f ca="1">_xlfn.XLOOKUP(twoFiveTwo[[#This Row],[Date]],EURUSD[Date],EURUSD[Change %])</f>
        <v>-3.500046053237566E-3</v>
      </c>
      <c r="D165" s="5">
        <f ca="1">_xlfn.XLOOKUP(twoFiveTwo[[#This Row],[Date]],SGDJPY[Date],SGDJPY[Change %])</f>
        <v>1.3644638408346671E-3</v>
      </c>
      <c r="E165" s="5">
        <f ca="1">_xlfn.XLOOKUP(twoFiveTwo[[#This Row],[Date]],GBPUSD[Date],GBPUSD[Change %])</f>
        <v>-1.0099440646363089E-3</v>
      </c>
    </row>
    <row r="166" spans="1:5" x14ac:dyDescent="0.35">
      <c r="A166" s="1" vm="3">
        <v>45503</v>
      </c>
      <c r="B166" s="5">
        <f ca="1">_xlfn.XLOOKUP(twoFiveTwo[[#This Row],[Date]],USDJPY[Date],USDJPY[Change %])</f>
        <v>-8.116356080773976E-3</v>
      </c>
      <c r="C166" s="5">
        <f ca="1">_xlfn.XLOOKUP(twoFiveTwo[[#This Row],[Date]],EURUSD[Date],EURUSD[Change %])</f>
        <v>-3.697199371477752E-4</v>
      </c>
      <c r="D166" s="5">
        <f ca="1">_xlfn.XLOOKUP(twoFiveTwo[[#This Row],[Date]],SGDJPY[Date],SGDJPY[Change %])</f>
        <v>-7.3032815915779845E-3</v>
      </c>
      <c r="E166" s="5">
        <f ca="1">_xlfn.XLOOKUP(twoFiveTwo[[#This Row],[Date]],GBPUSD[Date],GBPUSD[Change %])</f>
        <v>-1.9441636208102858E-3</v>
      </c>
    </row>
    <row r="167" spans="1:5" x14ac:dyDescent="0.35">
      <c r="A167" s="1" vm="4">
        <v>45504</v>
      </c>
      <c r="B167" s="5">
        <f ca="1">_xlfn.XLOOKUP(twoFiveTwo[[#This Row],[Date]],USDJPY[Date],USDJPY[Change %])</f>
        <v>-1.8198481277821428E-2</v>
      </c>
      <c r="C167" s="5">
        <f ca="1">_xlfn.XLOOKUP(twoFiveTwo[[#This Row],[Date]],EURUSD[Date],EURUSD[Change %])</f>
        <v>9.2464170134083407E-4</v>
      </c>
      <c r="D167" s="5">
        <f ca="1">_xlfn.XLOOKUP(twoFiveTwo[[#This Row],[Date]],SGDJPY[Date],SGDJPY[Change %])</f>
        <v>-1.3716626741490523E-2</v>
      </c>
      <c r="E167" s="5">
        <f ca="1">_xlfn.XLOOKUP(twoFiveTwo[[#This Row],[Date]],GBPUSD[Date],GBPUSD[Change %])</f>
        <v>1.7141966651082901E-3</v>
      </c>
    </row>
    <row r="168" spans="1:5" x14ac:dyDescent="0.35">
      <c r="A168" s="1" vm="5">
        <v>45505</v>
      </c>
      <c r="B168" s="5">
        <f ca="1">_xlfn.XLOOKUP(twoFiveTwo[[#This Row],[Date]],USDJPY[Date],USDJPY[Change %])</f>
        <v>-4.133884517935566E-3</v>
      </c>
      <c r="C168" s="5">
        <f ca="1">_xlfn.XLOOKUP(twoFiveTwo[[#This Row],[Date]],EURUSD[Date],EURUSD[Change %])</f>
        <v>-3.1408775981524892E-3</v>
      </c>
      <c r="D168" s="5">
        <f ca="1">_xlfn.XLOOKUP(twoFiveTwo[[#This Row],[Date]],SGDJPY[Date],SGDJPY[Change %])</f>
        <v>-4.5066035373896949E-3</v>
      </c>
      <c r="E168" s="5">
        <f ca="1">_xlfn.XLOOKUP(twoFiveTwo[[#This Row],[Date]],GBPUSD[Date],GBPUSD[Change %])</f>
        <v>-9.1008089607965484E-3</v>
      </c>
    </row>
    <row r="169" spans="1:5" x14ac:dyDescent="0.35">
      <c r="A169" s="1" vm="6">
        <v>45506</v>
      </c>
      <c r="B169" s="5">
        <f ca="1">_xlfn.XLOOKUP(twoFiveTwo[[#This Row],[Date]],USDJPY[Date],USDJPY[Change %])</f>
        <v>-1.8880557043385253E-2</v>
      </c>
      <c r="C169" s="5">
        <f ca="1">_xlfn.XLOOKUP(twoFiveTwo[[#This Row],[Date]],EURUSD[Date],EURUSD[Change %])</f>
        <v>1.0842368640533818E-2</v>
      </c>
      <c r="D169" s="5">
        <f ca="1">_xlfn.XLOOKUP(twoFiveTwo[[#This Row],[Date]],SGDJPY[Date],SGDJPY[Change %])</f>
        <v>-1.1560062472310379E-2</v>
      </c>
      <c r="E169" s="5">
        <f ca="1">_xlfn.XLOOKUP(twoFiveTwo[[#This Row],[Date]],GBPUSD[Date],GBPUSD[Change %])</f>
        <v>4.6314467383625213E-3</v>
      </c>
    </row>
    <row r="170" spans="1:5" x14ac:dyDescent="0.35">
      <c r="A170" s="1" vm="7">
        <v>45509</v>
      </c>
      <c r="B170" s="5">
        <f ca="1">_xlfn.XLOOKUP(twoFiveTwo[[#This Row],[Date]],USDJPY[Date],USDJPY[Change %])</f>
        <v>-1.617305855056643E-2</v>
      </c>
      <c r="C170" s="5">
        <f ca="1">_xlfn.XLOOKUP(twoFiveTwo[[#This Row],[Date]],EURUSD[Date],EURUSD[Change %])</f>
        <v>4.0337367070039966E-3</v>
      </c>
      <c r="D170" s="5">
        <f ca="1">_xlfn.XLOOKUP(twoFiveTwo[[#This Row],[Date]],SGDJPY[Date],SGDJPY[Change %])</f>
        <v>-1.4911547575605829E-2</v>
      </c>
      <c r="E170" s="5">
        <f ca="1">_xlfn.XLOOKUP(twoFiveTwo[[#This Row],[Date]],GBPUSD[Date],GBPUSD[Change %])</f>
        <v>-1.9534302234723759E-3</v>
      </c>
    </row>
    <row r="171" spans="1:5" x14ac:dyDescent="0.35">
      <c r="A171" s="1" vm="8">
        <v>45510</v>
      </c>
      <c r="B171" s="5">
        <f ca="1">_xlfn.XLOOKUP(twoFiveTwo[[#This Row],[Date]],USDJPY[Date],USDJPY[Change %])</f>
        <v>9.0171325518501684E-4</v>
      </c>
      <c r="C171" s="5">
        <f ca="1">_xlfn.XLOOKUP(twoFiveTwo[[#This Row],[Date]],EURUSD[Date],EURUSD[Change %])</f>
        <v>-2.0087655222790174E-3</v>
      </c>
      <c r="D171" s="5">
        <f ca="1">_xlfn.XLOOKUP(twoFiveTwo[[#This Row],[Date]],SGDJPY[Date],SGDJPY[Change %])</f>
        <v>5.2485911071774695E-4</v>
      </c>
      <c r="E171" s="5">
        <f ca="1">_xlfn.XLOOKUP(twoFiveTwo[[#This Row],[Date]],GBPUSD[Date],GBPUSD[Change %])</f>
        <v>-6.576372034760968E-3</v>
      </c>
    </row>
    <row r="172" spans="1:5" x14ac:dyDescent="0.35">
      <c r="A172" s="1" vm="9">
        <v>45511</v>
      </c>
      <c r="B172" s="5">
        <f ca="1">_xlfn.XLOOKUP(twoFiveTwo[[#This Row],[Date]],USDJPY[Date],USDJPY[Change %])</f>
        <v>1.6562716562716465E-2</v>
      </c>
      <c r="C172" s="5">
        <f ca="1">_xlfn.XLOOKUP(twoFiveTwo[[#This Row],[Date]],EURUSD[Date],EURUSD[Change %])</f>
        <v>-8.2342177493129087E-4</v>
      </c>
      <c r="D172" s="5">
        <f ca="1">_xlfn.XLOOKUP(twoFiveTwo[[#This Row],[Date]],SGDJPY[Date],SGDJPY[Change %])</f>
        <v>1.4954771874959746E-2</v>
      </c>
      <c r="E172" s="5">
        <f ca="1">_xlfn.XLOOKUP(twoFiveTwo[[#This Row],[Date]],GBPUSD[Date],GBPUSD[Change %])</f>
        <v>1.5761683347779808E-4</v>
      </c>
    </row>
    <row r="173" spans="1:5" x14ac:dyDescent="0.35">
      <c r="A173" s="1" vm="10">
        <v>45512</v>
      </c>
      <c r="B173" s="5">
        <f ca="1">_xlfn.XLOOKUP(twoFiveTwo[[#This Row],[Date]],USDJPY[Date],USDJPY[Change %])</f>
        <v>4.0220873951871527E-3</v>
      </c>
      <c r="C173" s="5">
        <f ca="1">_xlfn.XLOOKUP(twoFiveTwo[[#This Row],[Date]],EURUSD[Date],EURUSD[Change %])</f>
        <v>-2.7470011903668796E-4</v>
      </c>
      <c r="D173" s="5">
        <f ca="1">_xlfn.XLOOKUP(twoFiveTwo[[#This Row],[Date]],SGDJPY[Date],SGDJPY[Change %])</f>
        <v>5.5360440276620779E-3</v>
      </c>
      <c r="E173" s="5">
        <f ca="1">_xlfn.XLOOKUP(twoFiveTwo[[#This Row],[Date]],GBPUSD[Date],GBPUSD[Change %])</f>
        <v>4.4125758411473091E-3</v>
      </c>
    </row>
    <row r="174" spans="1:5" x14ac:dyDescent="0.35">
      <c r="A174" s="1" vm="11">
        <v>45513</v>
      </c>
      <c r="B174" s="5">
        <f ca="1">_xlfn.XLOOKUP(twoFiveTwo[[#This Row],[Date]],USDJPY[Date],USDJPY[Change %])</f>
        <v>-4.5491580662682472E-3</v>
      </c>
      <c r="C174" s="5">
        <f ca="1">_xlfn.XLOOKUP(twoFiveTwo[[#This Row],[Date]],EURUSD[Date],EURUSD[Change %])</f>
        <v>-1.8318373328466751E-4</v>
      </c>
      <c r="D174" s="5">
        <f ca="1">_xlfn.XLOOKUP(twoFiveTwo[[#This Row],[Date]],SGDJPY[Date],SGDJPY[Change %])</f>
        <v>-4.0229512564858676E-3</v>
      </c>
      <c r="E174" s="5">
        <f ca="1">_xlfn.XLOOKUP(twoFiveTwo[[#This Row],[Date]],GBPUSD[Date],GBPUSD[Change %])</f>
        <v>9.4139797599442218E-4</v>
      </c>
    </row>
    <row r="175" spans="1:5" x14ac:dyDescent="0.35">
      <c r="A175" s="1" vm="12">
        <v>45516</v>
      </c>
      <c r="B175" s="5">
        <f ca="1">_xlfn.XLOOKUP(twoFiveTwo[[#This Row],[Date]],USDJPY[Date],USDJPY[Change %])</f>
        <v>3.9560739376576226E-3</v>
      </c>
      <c r="C175" s="5">
        <f ca="1">_xlfn.XLOOKUP(twoFiveTwo[[#This Row],[Date]],EURUSD[Date],EURUSD[Change %])</f>
        <v>1.3741297178454168E-3</v>
      </c>
      <c r="D175" s="5">
        <f ca="1">_xlfn.XLOOKUP(twoFiveTwo[[#This Row],[Date]],SGDJPY[Date],SGDJPY[Change %])</f>
        <v>4.0319701520326722E-3</v>
      </c>
      <c r="E175" s="5">
        <f ca="1">_xlfn.XLOOKUP(twoFiveTwo[[#This Row],[Date]],GBPUSD[Date],GBPUSD[Change %])</f>
        <v>3.9188024139818551E-4</v>
      </c>
    </row>
    <row r="176" spans="1:5" x14ac:dyDescent="0.35">
      <c r="A176" s="1" vm="13">
        <v>45517</v>
      </c>
      <c r="B176" s="5">
        <f ca="1">_xlfn.XLOOKUP(twoFiveTwo[[#This Row],[Date]],USDJPY[Date],USDJPY[Change %])</f>
        <v>-2.51375772810656E-3</v>
      </c>
      <c r="C176" s="5">
        <f ca="1">_xlfn.XLOOKUP(twoFiveTwo[[#This Row],[Date]],EURUSD[Date],EURUSD[Change %])</f>
        <v>5.5804592443509235E-3</v>
      </c>
      <c r="D176" s="5">
        <f ca="1">_xlfn.XLOOKUP(twoFiveTwo[[#This Row],[Date]],SGDJPY[Date],SGDJPY[Change %])</f>
        <v>2.7762074341866542E-3</v>
      </c>
      <c r="E176" s="5">
        <f ca="1">_xlfn.XLOOKUP(twoFiveTwo[[#This Row],[Date]],GBPUSD[Date],GBPUSD[Change %])</f>
        <v>7.286117204638112E-3</v>
      </c>
    </row>
    <row r="177" spans="1:5" x14ac:dyDescent="0.35">
      <c r="A177" s="1" vm="14">
        <v>45518</v>
      </c>
      <c r="B177" s="5">
        <f ca="1">_xlfn.XLOOKUP(twoFiveTwo[[#This Row],[Date]],USDJPY[Date],USDJPY[Change %])</f>
        <v>3.3374199700313928E-3</v>
      </c>
      <c r="C177" s="5">
        <f ca="1">_xlfn.XLOOKUP(twoFiveTwo[[#This Row],[Date]],EURUSD[Date],EURUSD[Change %])</f>
        <v>1.8195050946142666E-3</v>
      </c>
      <c r="D177" s="5">
        <f ca="1">_xlfn.XLOOKUP(twoFiveTwo[[#This Row],[Date]],SGDJPY[Date],SGDJPY[Change %])</f>
        <v>4.2596090316278611E-3</v>
      </c>
      <c r="E177" s="5">
        <f ca="1">_xlfn.XLOOKUP(twoFiveTwo[[#This Row],[Date]],GBPUSD[Date],GBPUSD[Change %])</f>
        <v>-2.4889165435172216E-3</v>
      </c>
    </row>
    <row r="178" spans="1:5" x14ac:dyDescent="0.35">
      <c r="A178" s="1" vm="15">
        <v>45519</v>
      </c>
      <c r="B178" s="5">
        <f ca="1">_xlfn.XLOOKUP(twoFiveTwo[[#This Row],[Date]],USDJPY[Date],USDJPY[Change %])</f>
        <v>1.3305274590998627E-2</v>
      </c>
      <c r="C178" s="5">
        <f ca="1">_xlfn.XLOOKUP(twoFiveTwo[[#This Row],[Date]],EURUSD[Date],EURUSD[Change %])</f>
        <v>-3.7232110424990851E-3</v>
      </c>
      <c r="D178" s="5">
        <f ca="1">_xlfn.XLOOKUP(twoFiveTwo[[#This Row],[Date]],SGDJPY[Date],SGDJPY[Change %])</f>
        <v>8.6413032304547433E-3</v>
      </c>
      <c r="E178" s="5">
        <f ca="1">_xlfn.XLOOKUP(twoFiveTwo[[#This Row],[Date]],GBPUSD[Date],GBPUSD[Change %])</f>
        <v>2.02729044834303E-3</v>
      </c>
    </row>
    <row r="179" spans="1:5" x14ac:dyDescent="0.35">
      <c r="A179" s="1" vm="16">
        <v>45520</v>
      </c>
      <c r="B179" s="5">
        <f ca="1">_xlfn.XLOOKUP(twoFiveTwo[[#This Row],[Date]],USDJPY[Date],USDJPY[Change %])</f>
        <v>-1.1321765927513884E-2</v>
      </c>
      <c r="C179" s="5">
        <f ca="1">_xlfn.XLOOKUP(twoFiveTwo[[#This Row],[Date]],EURUSD[Date],EURUSD[Change %])</f>
        <v>5.1955154498222935E-3</v>
      </c>
      <c r="D179" s="5">
        <f ca="1">_xlfn.XLOOKUP(twoFiveTwo[[#This Row],[Date]],SGDJPY[Date],SGDJPY[Change %])</f>
        <v>-6.0707360390796078E-3</v>
      </c>
      <c r="E179" s="5">
        <f ca="1">_xlfn.XLOOKUP(twoFiveTwo[[#This Row],[Date]],GBPUSD[Date],GBPUSD[Change %])</f>
        <v>7.2367909112132029E-3</v>
      </c>
    </row>
    <row r="180" spans="1:5" x14ac:dyDescent="0.35">
      <c r="A180" s="1" vm="17">
        <v>45523</v>
      </c>
      <c r="B180" s="5">
        <f ca="1">_xlfn.XLOOKUP(twoFiveTwo[[#This Row],[Date]],USDJPY[Date],USDJPY[Change %])</f>
        <v>-6.843745765008939E-3</v>
      </c>
      <c r="C180" s="5">
        <f ca="1">_xlfn.XLOOKUP(twoFiveTwo[[#This Row],[Date]],EURUSD[Date],EURUSD[Change %])</f>
        <v>5.1686615886833865E-3</v>
      </c>
      <c r="D180" s="5">
        <f ca="1">_xlfn.XLOOKUP(twoFiveTwo[[#This Row],[Date]],SGDJPY[Date],SGDJPY[Change %])</f>
        <v>-1.2269129052333895E-3</v>
      </c>
      <c r="E180" s="5">
        <f ca="1">_xlfn.XLOOKUP(twoFiveTwo[[#This Row],[Date]],GBPUSD[Date],GBPUSD[Change %])</f>
        <v>3.3992583436340848E-3</v>
      </c>
    </row>
    <row r="181" spans="1:5" x14ac:dyDescent="0.35">
      <c r="A181" s="1" vm="18">
        <v>45524</v>
      </c>
      <c r="B181" s="5">
        <f ca="1">_xlfn.XLOOKUP(twoFiveTwo[[#This Row],[Date]],USDJPY[Date],USDJPY[Change %])</f>
        <v>-9.0059357303676965E-3</v>
      </c>
      <c r="C181" s="5">
        <f ca="1">_xlfn.XLOOKUP(twoFiveTwo[[#This Row],[Date]],EURUSD[Date],EURUSD[Change %])</f>
        <v>4.0595399188091547E-3</v>
      </c>
      <c r="D181" s="5">
        <f ca="1">_xlfn.XLOOKUP(twoFiveTwo[[#This Row],[Date]],SGDJPY[Date],SGDJPY[Change %])</f>
        <v>-6.5009847000994615E-3</v>
      </c>
      <c r="E181" s="5">
        <f ca="1">_xlfn.XLOOKUP(twoFiveTwo[[#This Row],[Date]],GBPUSD[Date],GBPUSD[Change %])</f>
        <v>3.1567600862334407E-3</v>
      </c>
    </row>
    <row r="182" spans="1:5" x14ac:dyDescent="0.35">
      <c r="A182" s="1" vm="19">
        <v>45525</v>
      </c>
      <c r="B182" s="5">
        <f ca="1">_xlfn.XLOOKUP(twoFiveTwo[[#This Row],[Date]],USDJPY[Date],USDJPY[Change %])</f>
        <v>6.884681583470502E-5</v>
      </c>
      <c r="C182" s="5">
        <f ca="1">_xlfn.XLOOKUP(twoFiveTwo[[#This Row],[Date]],EURUSD[Date],EURUSD[Change %])</f>
        <v>1.7969451931716099E-3</v>
      </c>
      <c r="D182" s="5">
        <f ca="1">_xlfn.XLOOKUP(twoFiveTwo[[#This Row],[Date]],SGDJPY[Date],SGDJPY[Change %])</f>
        <v>-3.8998756353028093E-4</v>
      </c>
      <c r="E182" s="5">
        <f ca="1">_xlfn.XLOOKUP(twoFiveTwo[[#This Row],[Date]],GBPUSD[Date],GBPUSD[Change %])</f>
        <v>4.8353672576559774E-3</v>
      </c>
    </row>
    <row r="183" spans="1:5" x14ac:dyDescent="0.35">
      <c r="A183" s="1" vm="20">
        <v>45526</v>
      </c>
      <c r="B183" s="5">
        <f ca="1">_xlfn.XLOOKUP(twoFiveTwo[[#This Row],[Date]],USDJPY[Date],USDJPY[Change %])</f>
        <v>6.8842076277020516E-3</v>
      </c>
      <c r="C183" s="5">
        <f ca="1">_xlfn.XLOOKUP(twoFiveTwo[[#This Row],[Date]],EURUSD[Date],EURUSD[Change %])</f>
        <v>-3.4080717488789466E-3</v>
      </c>
      <c r="D183" s="5">
        <f ca="1">_xlfn.XLOOKUP(twoFiveTwo[[#This Row],[Date]],SGDJPY[Date],SGDJPY[Change %])</f>
        <v>2.7372705681836967E-3</v>
      </c>
      <c r="E183" s="5">
        <f ca="1">_xlfn.XLOOKUP(twoFiveTwo[[#This Row],[Date]],GBPUSD[Date],GBPUSD[Change %])</f>
        <v>-3.0553009471429574E-4</v>
      </c>
    </row>
    <row r="184" spans="1:5" x14ac:dyDescent="0.35">
      <c r="A184" s="1" vm="21">
        <v>45527</v>
      </c>
      <c r="B184" s="5">
        <f ca="1">_xlfn.XLOOKUP(twoFiveTwo[[#This Row],[Date]],USDJPY[Date],USDJPY[Change %])</f>
        <v>-1.2922193354300468E-2</v>
      </c>
      <c r="C184" s="5">
        <f ca="1">_xlfn.XLOOKUP(twoFiveTwo[[#This Row],[Date]],EURUSD[Date],EURUSD[Change %])</f>
        <v>7.0194384449244326E-3</v>
      </c>
      <c r="D184" s="5">
        <f ca="1">_xlfn.XLOOKUP(twoFiveTwo[[#This Row],[Date]],SGDJPY[Date],SGDJPY[Change %])</f>
        <v>-5.336778228311502E-3</v>
      </c>
      <c r="E184" s="5">
        <f ca="1">_xlfn.XLOOKUP(twoFiveTwo[[#This Row],[Date]],GBPUSD[Date],GBPUSD[Change %])</f>
        <v>9.245110024449877E-3</v>
      </c>
    </row>
    <row r="185" spans="1:5" x14ac:dyDescent="0.35">
      <c r="A185" s="1" vm="22">
        <v>45530</v>
      </c>
      <c r="B185" s="5">
        <f ca="1">_xlfn.XLOOKUP(twoFiveTwo[[#This Row],[Date]],USDJPY[Date],USDJPY[Change %])</f>
        <v>1.0389970215419109E-3</v>
      </c>
      <c r="C185" s="5">
        <f ca="1">_xlfn.XLOOKUP(twoFiveTwo[[#This Row],[Date]],EURUSD[Date],EURUSD[Change %])</f>
        <v>-2.5915996425378935E-3</v>
      </c>
      <c r="D185" s="5">
        <f ca="1">_xlfn.XLOOKUP(twoFiveTwo[[#This Row],[Date]],SGDJPY[Date],SGDJPY[Change %])</f>
        <v>-1.3402264414870398E-3</v>
      </c>
      <c r="E185" s="5">
        <f ca="1">_xlfn.XLOOKUP(twoFiveTwo[[#This Row],[Date]],GBPUSD[Date],GBPUSD[Change %])</f>
        <v>-1.4384132031190953E-3</v>
      </c>
    </row>
    <row r="186" spans="1:5" x14ac:dyDescent="0.35">
      <c r="A186" s="1" vm="23">
        <v>45531</v>
      </c>
      <c r="B186" s="5">
        <f ca="1">_xlfn.XLOOKUP(twoFiveTwo[[#This Row],[Date]],USDJPY[Date],USDJPY[Change %])</f>
        <v>-3.9440907832827398E-3</v>
      </c>
      <c r="C186" s="5">
        <f ca="1">_xlfn.XLOOKUP(twoFiveTwo[[#This Row],[Date]],EURUSD[Date],EURUSD[Change %])</f>
        <v>2.0607472448705031E-3</v>
      </c>
      <c r="D186" s="5">
        <f ca="1">_xlfn.XLOOKUP(twoFiveTwo[[#This Row],[Date]],SGDJPY[Date],SGDJPY[Change %])</f>
        <v>-1.8004976413029687E-3</v>
      </c>
      <c r="E186" s="5">
        <f ca="1">_xlfn.XLOOKUP(twoFiveTwo[[#This Row],[Date]],GBPUSD[Date],GBPUSD[Change %])</f>
        <v>4.9279757391963233E-3</v>
      </c>
    </row>
    <row r="187" spans="1:5" x14ac:dyDescent="0.35">
      <c r="A187" s="1" vm="24">
        <v>45532</v>
      </c>
      <c r="B187" s="5">
        <f ca="1">_xlfn.XLOOKUP(twoFiveTwo[[#This Row],[Date]],USDJPY[Date],USDJPY[Change %])</f>
        <v>4.3070510593956552E-3</v>
      </c>
      <c r="C187" s="5">
        <f ca="1">_xlfn.XLOOKUP(twoFiveTwo[[#This Row],[Date]],EURUSD[Date],EURUSD[Change %])</f>
        <v>-5.722460658082941E-3</v>
      </c>
      <c r="D187" s="5">
        <f ca="1">_xlfn.XLOOKUP(twoFiveTwo[[#This Row],[Date]],SGDJPY[Date],SGDJPY[Change %])</f>
        <v>2.7585096995384937E-3</v>
      </c>
      <c r="E187" s="5">
        <f ca="1">_xlfn.XLOOKUP(twoFiveTwo[[#This Row],[Date]],GBPUSD[Date],GBPUSD[Change %])</f>
        <v>-4.9038098830629581E-3</v>
      </c>
    </row>
    <row r="188" spans="1:5" x14ac:dyDescent="0.35">
      <c r="A188" s="1" vm="25">
        <v>45533</v>
      </c>
      <c r="B188" s="5">
        <f ca="1">_xlfn.XLOOKUP(twoFiveTwo[[#This Row],[Date]],USDJPY[Date],USDJPY[Change %])</f>
        <v>2.8359964031264896E-3</v>
      </c>
      <c r="C188" s="5">
        <f ca="1">_xlfn.XLOOKUP(twoFiveTwo[[#This Row],[Date]],EURUSD[Date],EURUSD[Change %])</f>
        <v>-3.8669064748203166E-3</v>
      </c>
      <c r="D188" s="5">
        <f ca="1">_xlfn.XLOOKUP(twoFiveTwo[[#This Row],[Date]],SGDJPY[Date],SGDJPY[Change %])</f>
        <v>2.9970705528802348E-3</v>
      </c>
      <c r="E188" s="5">
        <f ca="1">_xlfn.XLOOKUP(twoFiveTwo[[#This Row],[Date]],GBPUSD[Date],GBPUSD[Change %])</f>
        <v>-1.6679302501895223E-3</v>
      </c>
    </row>
    <row r="189" spans="1:5" x14ac:dyDescent="0.35">
      <c r="A189" s="1" vm="26">
        <v>45534</v>
      </c>
      <c r="B189" s="5">
        <f ca="1">_xlfn.XLOOKUP(twoFiveTwo[[#This Row],[Date]],USDJPY[Date],USDJPY[Change %])</f>
        <v>8.1390536625741954E-3</v>
      </c>
      <c r="C189" s="5">
        <f ca="1">_xlfn.XLOOKUP(twoFiveTwo[[#This Row],[Date]],EURUSD[Date],EURUSD[Change %])</f>
        <v>-2.7083145255934749E-3</v>
      </c>
      <c r="D189" s="5">
        <f ca="1">_xlfn.XLOOKUP(twoFiveTwo[[#This Row],[Date]],SGDJPY[Date],SGDJPY[Change %])</f>
        <v>5.4386568944638945E-3</v>
      </c>
      <c r="E189" s="5">
        <f ca="1">_xlfn.XLOOKUP(twoFiveTwo[[#This Row],[Date]],GBPUSD[Date],GBPUSD[Change %])</f>
        <v>-3.1895504252733762E-3</v>
      </c>
    </row>
    <row r="190" spans="1:5" x14ac:dyDescent="0.35">
      <c r="A190" s="1" vm="27">
        <v>45537</v>
      </c>
      <c r="B190" s="5">
        <f ca="1">_xlfn.XLOOKUP(twoFiveTwo[[#This Row],[Date]],USDJPY[Date],USDJPY[Change %])</f>
        <v>5.062944718117194E-3</v>
      </c>
      <c r="C190" s="5">
        <f ca="1">_xlfn.XLOOKUP(twoFiveTwo[[#This Row],[Date]],EURUSD[Date],EURUSD[Change %])</f>
        <v>2.1725355300081088E-3</v>
      </c>
      <c r="D190" s="5">
        <f ca="1">_xlfn.XLOOKUP(twoFiveTwo[[#This Row],[Date]],SGDJPY[Date],SGDJPY[Change %])</f>
        <v>4.6787672659745179E-3</v>
      </c>
      <c r="E190" s="5">
        <f ca="1">_xlfn.XLOOKUP(twoFiveTwo[[#This Row],[Date]],GBPUSD[Date],GBPUSD[Change %])</f>
        <v>1.7522474478134762E-3</v>
      </c>
    </row>
    <row r="191" spans="1:5" x14ac:dyDescent="0.35">
      <c r="A191" s="1" vm="28">
        <v>45538</v>
      </c>
      <c r="B191" s="5">
        <f ca="1">_xlfn.XLOOKUP(twoFiveTwo[[#This Row],[Date]],USDJPY[Date],USDJPY[Change %])</f>
        <v>-9.7345132743363299E-3</v>
      </c>
      <c r="C191" s="5">
        <f ca="1">_xlfn.XLOOKUP(twoFiveTwo[[#This Row],[Date]],EURUSD[Date],EURUSD[Change %])</f>
        <v>-2.5291301598770787E-3</v>
      </c>
      <c r="D191" s="5">
        <f ca="1">_xlfn.XLOOKUP(twoFiveTwo[[#This Row],[Date]],SGDJPY[Date],SGDJPY[Change %])</f>
        <v>-9.6583577321147623E-3</v>
      </c>
      <c r="E191" s="5">
        <f ca="1">_xlfn.XLOOKUP(twoFiveTwo[[#This Row],[Date]],GBPUSD[Date],GBPUSD[Change %])</f>
        <v>-2.8899536086394598E-3</v>
      </c>
    </row>
    <row r="192" spans="1:5" x14ac:dyDescent="0.35">
      <c r="A192" s="1" vm="29">
        <v>45539</v>
      </c>
      <c r="B192" s="5">
        <f ca="1">_xlfn.XLOOKUP(twoFiveTwo[[#This Row],[Date]],USDJPY[Date],USDJPY[Change %])</f>
        <v>-1.1961229119406126E-2</v>
      </c>
      <c r="C192" s="5">
        <f ca="1">_xlfn.XLOOKUP(twoFiveTwo[[#This Row],[Date]],EURUSD[Date],EURUSD[Change %])</f>
        <v>3.5316490084216375E-3</v>
      </c>
      <c r="D192" s="5">
        <f ca="1">_xlfn.XLOOKUP(twoFiveTwo[[#This Row],[Date]],SGDJPY[Date],SGDJPY[Change %])</f>
        <v>-9.6887504639043762E-3</v>
      </c>
      <c r="E192" s="5">
        <f ca="1">_xlfn.XLOOKUP(twoFiveTwo[[#This Row],[Date]],GBPUSD[Date],GBPUSD[Change %])</f>
        <v>2.3644268171764951E-3</v>
      </c>
    </row>
    <row r="193" spans="1:5" x14ac:dyDescent="0.35">
      <c r="A193" s="1" vm="30">
        <v>45540</v>
      </c>
      <c r="B193" s="5">
        <f ca="1">_xlfn.XLOOKUP(twoFiveTwo[[#This Row],[Date]],USDJPY[Date],USDJPY[Change %])</f>
        <v>-2.0176720239337095E-3</v>
      </c>
      <c r="C193" s="5">
        <f ca="1">_xlfn.XLOOKUP(twoFiveTwo[[#This Row],[Date]],EURUSD[Date],EURUSD[Change %])</f>
        <v>2.5266197437284906E-3</v>
      </c>
      <c r="D193" s="5">
        <f ca="1">_xlfn.XLOOKUP(twoFiveTwo[[#This Row],[Date]],SGDJPY[Date],SGDJPY[Change %])</f>
        <v>1.1297076824659169E-3</v>
      </c>
      <c r="E193" s="5">
        <f ca="1">_xlfn.XLOOKUP(twoFiveTwo[[#This Row],[Date]],GBPUSD[Date],GBPUSD[Change %])</f>
        <v>2.5110333282604312E-3</v>
      </c>
    </row>
    <row r="194" spans="1:5" x14ac:dyDescent="0.35">
      <c r="A194" s="1" vm="31">
        <v>45541</v>
      </c>
      <c r="B194" s="5">
        <f ca="1">_xlfn.XLOOKUP(twoFiveTwo[[#This Row],[Date]],USDJPY[Date],USDJPY[Change %])</f>
        <v>-8.1567205800333765E-3</v>
      </c>
      <c r="C194" s="5">
        <f ca="1">_xlfn.XLOOKUP(twoFiveTwo[[#This Row],[Date]],EURUSD[Date],EURUSD[Change %])</f>
        <v>-2.4302430243023625E-3</v>
      </c>
      <c r="D194" s="5">
        <f ca="1">_xlfn.XLOOKUP(twoFiveTwo[[#This Row],[Date]],SGDJPY[Date],SGDJPY[Change %])</f>
        <v>-1.0136862140850123E-2</v>
      </c>
      <c r="E194" s="5">
        <f ca="1">_xlfn.XLOOKUP(twoFiveTwo[[#This Row],[Date]],GBPUSD[Date],GBPUSD[Change %])</f>
        <v>-3.946869070208631E-3</v>
      </c>
    </row>
    <row r="195" spans="1:5" x14ac:dyDescent="0.35">
      <c r="A195" s="1" vm="32">
        <v>45544</v>
      </c>
      <c r="B195" s="5">
        <f ca="1">_xlfn.XLOOKUP(twoFiveTwo[[#This Row],[Date]],USDJPY[Date],USDJPY[Change %])</f>
        <v>6.3259998594220653E-3</v>
      </c>
      <c r="C195" s="5">
        <f ca="1">_xlfn.XLOOKUP(twoFiveTwo[[#This Row],[Date]],EURUSD[Date],EURUSD[Change %])</f>
        <v>-4.4211855995670178E-3</v>
      </c>
      <c r="D195" s="5">
        <f ca="1">_xlfn.XLOOKUP(twoFiveTwo[[#This Row],[Date]],SGDJPY[Date],SGDJPY[Change %])</f>
        <v>3.9373106886081023E-3</v>
      </c>
      <c r="E195" s="5">
        <f ca="1">_xlfn.XLOOKUP(twoFiveTwo[[#This Row],[Date]],GBPUSD[Date],GBPUSD[Change %])</f>
        <v>-3.8863064847977631E-3</v>
      </c>
    </row>
    <row r="196" spans="1:5" x14ac:dyDescent="0.35">
      <c r="A196" s="1" vm="33">
        <v>45545</v>
      </c>
      <c r="B196" s="5">
        <f ca="1">_xlfn.XLOOKUP(twoFiveTwo[[#This Row],[Date]],USDJPY[Date],USDJPY[Change %])</f>
        <v>-5.1686805895088412E-3</v>
      </c>
      <c r="C196" s="5">
        <f ca="1">_xlfn.XLOOKUP(twoFiveTwo[[#This Row],[Date]],EURUSD[Date],EURUSD[Change %])</f>
        <v>-1.3594344752581428E-3</v>
      </c>
      <c r="D196" s="5">
        <f ca="1">_xlfn.XLOOKUP(twoFiveTwo[[#This Row],[Date]],SGDJPY[Date],SGDJPY[Change %])</f>
        <v>-4.4061742988062303E-3</v>
      </c>
      <c r="E196" s="5">
        <f ca="1">_xlfn.XLOOKUP(twoFiveTwo[[#This Row],[Date]],GBPUSD[Date],GBPUSD[Change %])</f>
        <v>5.3549571603438259E-4</v>
      </c>
    </row>
    <row r="197" spans="1:5" x14ac:dyDescent="0.35">
      <c r="A197" s="1" vm="34">
        <v>45546</v>
      </c>
      <c r="B197" s="5">
        <f ca="1">_xlfn.XLOOKUP(twoFiveTwo[[#This Row],[Date]],USDJPY[Date],USDJPY[Change %])</f>
        <v>-5.6167942147028363E-4</v>
      </c>
      <c r="C197" s="5">
        <f ca="1">_xlfn.XLOOKUP(twoFiveTwo[[#This Row],[Date]],EURUSD[Date],EURUSD[Change %])</f>
        <v>-7.2601869498151725E-4</v>
      </c>
      <c r="D197" s="5">
        <f ca="1">_xlfn.XLOOKUP(twoFiveTwo[[#This Row],[Date]],SGDJPY[Date],SGDJPY[Change %])</f>
        <v>-3.2063467343381423E-5</v>
      </c>
      <c r="E197" s="5">
        <f ca="1">_xlfn.XLOOKUP(twoFiveTwo[[#This Row],[Date]],GBPUSD[Date],GBPUSD[Change %])</f>
        <v>-2.7525040140683899E-3</v>
      </c>
    </row>
    <row r="198" spans="1:5" x14ac:dyDescent="0.35">
      <c r="A198" s="1" vm="35">
        <v>45547</v>
      </c>
      <c r="B198" s="5">
        <f ca="1">_xlfn.XLOOKUP(twoFiveTwo[[#This Row],[Date]],USDJPY[Date],USDJPY[Change %])</f>
        <v>-3.9339655778012107E-3</v>
      </c>
      <c r="C198" s="5">
        <f ca="1">_xlfn.XLOOKUP(twoFiveTwo[[#This Row],[Date]],EURUSD[Date],EURUSD[Change %])</f>
        <v>5.7215511760966052E-3</v>
      </c>
      <c r="D198" s="5">
        <f ca="1">_xlfn.XLOOKUP(twoFiveTwo[[#This Row],[Date]],SGDJPY[Date],SGDJPY[Change %])</f>
        <v>-1.8606568640924031E-3</v>
      </c>
      <c r="E198" s="5">
        <f ca="1">_xlfn.XLOOKUP(twoFiveTwo[[#This Row],[Date]],GBPUSD[Date],GBPUSD[Change %])</f>
        <v>6.1335582304684558E-3</v>
      </c>
    </row>
    <row r="199" spans="1:5" x14ac:dyDescent="0.35">
      <c r="A199" s="1" vm="36">
        <v>45548</v>
      </c>
      <c r="B199" s="5">
        <f ca="1">_xlfn.XLOOKUP(twoFiveTwo[[#This Row],[Date]],USDJPY[Date],USDJPY[Change %])</f>
        <v>-6.8411030397066011E-3</v>
      </c>
      <c r="C199" s="5">
        <f ca="1">_xlfn.XLOOKUP(twoFiveTwo[[#This Row],[Date]],EURUSD[Date],EURUSD[Change %])</f>
        <v>1.8060321473720243E-4</v>
      </c>
      <c r="D199" s="5">
        <f ca="1">_xlfn.XLOOKUP(twoFiveTwo[[#This Row],[Date]],SGDJPY[Date],SGDJPY[Change %])</f>
        <v>-4.2394854977288142E-3</v>
      </c>
      <c r="E199" s="5">
        <f ca="1">_xlfn.XLOOKUP(twoFiveTwo[[#This Row],[Date]],GBPUSD[Date],GBPUSD[Change %])</f>
        <v>-7.6202087937201086E-5</v>
      </c>
    </row>
    <row r="200" spans="1:5" x14ac:dyDescent="0.35">
      <c r="A200" s="1" vm="37">
        <v>45551</v>
      </c>
      <c r="B200" s="5">
        <f ca="1">_xlfn.XLOOKUP(twoFiveTwo[[#This Row],[Date]],USDJPY[Date],USDJPY[Change %])</f>
        <v>-1.5622780854992109E-3</v>
      </c>
      <c r="C200" s="5">
        <f ca="1">_xlfn.XLOOKUP(twoFiveTwo[[#This Row],[Date]],EURUSD[Date],EURUSD[Change %])</f>
        <v>5.0559768869628471E-3</v>
      </c>
      <c r="D200" s="5">
        <f ca="1">_xlfn.XLOOKUP(twoFiveTwo[[#This Row],[Date]],SGDJPY[Date],SGDJPY[Change %])</f>
        <v>5.1894183795748311E-4</v>
      </c>
      <c r="E200" s="5">
        <f ca="1">_xlfn.XLOOKUP(twoFiveTwo[[#This Row],[Date]],GBPUSD[Date],GBPUSD[Change %])</f>
        <v>7.163542142966068E-3</v>
      </c>
    </row>
    <row r="201" spans="1:5" x14ac:dyDescent="0.35">
      <c r="A201" s="1" vm="38">
        <v>45552</v>
      </c>
      <c r="B201" s="5">
        <f ca="1">_xlfn.XLOOKUP(twoFiveTwo[[#This Row],[Date]],USDJPY[Date],USDJPY[Change %])</f>
        <v>1.2802275960170778E-2</v>
      </c>
      <c r="C201" s="5">
        <f ca="1">_xlfn.XLOOKUP(twoFiveTwo[[#This Row],[Date]],EURUSD[Date],EURUSD[Change %])</f>
        <v>-1.7067912324829435E-3</v>
      </c>
      <c r="D201" s="5">
        <f ca="1">_xlfn.XLOOKUP(twoFiveTwo[[#This Row],[Date]],SGDJPY[Date],SGDJPY[Change %])</f>
        <v>1.1474366238185849E-2</v>
      </c>
      <c r="E201" s="5">
        <f ca="1">_xlfn.XLOOKUP(twoFiveTwo[[#This Row],[Date]],GBPUSD[Date],GBPUSD[Change %])</f>
        <v>-4.2372881355932576E-3</v>
      </c>
    </row>
    <row r="202" spans="1:5" x14ac:dyDescent="0.35">
      <c r="A202" s="1" vm="39">
        <v>45553</v>
      </c>
      <c r="B202" s="5">
        <f ca="1">_xlfn.XLOOKUP(twoFiveTwo[[#This Row],[Date]],USDJPY[Date],USDJPY[Change %])</f>
        <v>-9.129213483145748E-4</v>
      </c>
      <c r="C202" s="5">
        <f ca="1">_xlfn.XLOOKUP(twoFiveTwo[[#This Row],[Date]],EURUSD[Date],EURUSD[Change %])</f>
        <v>4.4992351300273997E-4</v>
      </c>
      <c r="D202" s="5">
        <f ca="1">_xlfn.XLOOKUP(twoFiveTwo[[#This Row],[Date]],SGDJPY[Date],SGDJPY[Change %])</f>
        <v>3.2151763610767424E-4</v>
      </c>
      <c r="E202" s="5">
        <f ca="1">_xlfn.XLOOKUP(twoFiveTwo[[#This Row],[Date]],GBPUSD[Date],GBPUSD[Change %])</f>
        <v>3.9513677811549176E-3</v>
      </c>
    </row>
    <row r="203" spans="1:5" x14ac:dyDescent="0.35">
      <c r="A203" s="1" vm="40">
        <v>45554</v>
      </c>
      <c r="B203" s="5">
        <f ca="1">_xlfn.XLOOKUP(twoFiveTwo[[#This Row],[Date]],USDJPY[Date],USDJPY[Change %])</f>
        <v>2.4601110564419363E-3</v>
      </c>
      <c r="C203" s="5">
        <f ca="1">_xlfn.XLOOKUP(twoFiveTwo[[#This Row],[Date]],EURUSD[Date],EURUSD[Change %])</f>
        <v>3.8676020867064159E-3</v>
      </c>
      <c r="D203" s="5">
        <f ca="1">_xlfn.XLOOKUP(twoFiveTwo[[#This Row],[Date]],SGDJPY[Date],SGDJPY[Change %])</f>
        <v>4.7938987736177927E-3</v>
      </c>
      <c r="E203" s="5">
        <f ca="1">_xlfn.XLOOKUP(twoFiveTwo[[#This Row],[Date]],GBPUSD[Date],GBPUSD[Change %])</f>
        <v>5.4495912806540236E-3</v>
      </c>
    </row>
    <row r="204" spans="1:5" x14ac:dyDescent="0.35">
      <c r="A204" s="1" vm="41">
        <v>45555</v>
      </c>
      <c r="B204" s="5">
        <f ca="1">_xlfn.XLOOKUP(twoFiveTwo[[#This Row],[Date]],USDJPY[Date],USDJPY[Change %])</f>
        <v>9.0450147244425187E-3</v>
      </c>
      <c r="C204" s="5">
        <f ca="1">_xlfn.XLOOKUP(twoFiveTwo[[#This Row],[Date]],EURUSD[Date],EURUSD[Change %])</f>
        <v>8.959770629870888E-5</v>
      </c>
      <c r="D204" s="5">
        <f ca="1">_xlfn.XLOOKUP(twoFiveTwo[[#This Row],[Date]],SGDJPY[Date],SGDJPY[Change %])</f>
        <v>9.6625755752417532E-3</v>
      </c>
      <c r="E204" s="5">
        <f ca="1">_xlfn.XLOOKUP(twoFiveTwo[[#This Row],[Date]],GBPUSD[Date],GBPUSD[Change %])</f>
        <v>2.7853056308341138E-3</v>
      </c>
    </row>
    <row r="205" spans="1:5" x14ac:dyDescent="0.35">
      <c r="A205" s="1" vm="42">
        <v>45558</v>
      </c>
      <c r="B205" s="5">
        <f ca="1">_xlfn.XLOOKUP(twoFiveTwo[[#This Row],[Date]],USDJPY[Date],USDJPY[Change %])</f>
        <v>-2.1541241053436334E-3</v>
      </c>
      <c r="C205" s="5">
        <f ca="1">_xlfn.XLOOKUP(twoFiveTwo[[#This Row],[Date]],EURUSD[Date],EURUSD[Change %])</f>
        <v>-4.4794839634475139E-3</v>
      </c>
      <c r="D205" s="5">
        <f ca="1">_xlfn.XLOOKUP(twoFiveTwo[[#This Row],[Date]],SGDJPY[Date],SGDJPY[Change %])</f>
        <v>-1.6128178180019625E-3</v>
      </c>
      <c r="E205" s="5">
        <f ca="1">_xlfn.XLOOKUP(twoFiveTwo[[#This Row],[Date]],GBPUSD[Date],GBPUSD[Change %])</f>
        <v>1.8767359807821834E-3</v>
      </c>
    </row>
    <row r="206" spans="1:5" x14ac:dyDescent="0.35">
      <c r="A206" s="1" vm="43">
        <v>45559</v>
      </c>
      <c r="B206" s="5">
        <f ca="1">_xlfn.XLOOKUP(twoFiveTwo[[#This Row],[Date]],USDJPY[Date],USDJPY[Change %])</f>
        <v>-2.7158774373258103E-3</v>
      </c>
      <c r="C206" s="5">
        <f ca="1">_xlfn.XLOOKUP(twoFiveTwo[[#This Row],[Date]],EURUSD[Date],EURUSD[Change %])</f>
        <v>6.1195104391649924E-3</v>
      </c>
      <c r="D206" s="5">
        <f ca="1">_xlfn.XLOOKUP(twoFiveTwo[[#This Row],[Date]],SGDJPY[Date],SGDJPY[Change %])</f>
        <v>2.9476753907310455E-3</v>
      </c>
      <c r="E206" s="5">
        <f ca="1">_xlfn.XLOOKUP(twoFiveTwo[[#This Row],[Date]],GBPUSD[Date],GBPUSD[Change %])</f>
        <v>4.9453019631349763E-3</v>
      </c>
    </row>
    <row r="207" spans="1:5" x14ac:dyDescent="0.35">
      <c r="A207" s="1" vm="44">
        <v>45560</v>
      </c>
      <c r="B207" s="5">
        <f ca="1">_xlfn.XLOOKUP(twoFiveTwo[[#This Row],[Date]],USDJPY[Date],USDJPY[Change %])</f>
        <v>1.0753439005655974E-2</v>
      </c>
      <c r="C207" s="5">
        <f ca="1">_xlfn.XLOOKUP(twoFiveTwo[[#This Row],[Date]],EURUSD[Date],EURUSD[Change %])</f>
        <v>-4.2933810375672069E-3</v>
      </c>
      <c r="D207" s="5">
        <f ca="1">_xlfn.XLOOKUP(twoFiveTwo[[#This Row],[Date]],SGDJPY[Date],SGDJPY[Change %])</f>
        <v>5.4352453792795036E-3</v>
      </c>
      <c r="E207" s="5">
        <f ca="1">_xlfn.XLOOKUP(twoFiveTwo[[#This Row],[Date]],GBPUSD[Date],GBPUSD[Change %])</f>
        <v>-6.6358484938860039E-3</v>
      </c>
    </row>
    <row r="208" spans="1:5" x14ac:dyDescent="0.35">
      <c r="A208" s="1" vm="45">
        <v>45561</v>
      </c>
      <c r="B208" s="5">
        <f ca="1">_xlfn.XLOOKUP(twoFiveTwo[[#This Row],[Date]],USDJPY[Date],USDJPY[Change %])</f>
        <v>3.4542314335068302E-4</v>
      </c>
      <c r="C208" s="5">
        <f ca="1">_xlfn.XLOOKUP(twoFiveTwo[[#This Row],[Date]],EURUSD[Date],EURUSD[Change %])</f>
        <v>3.9525691699604376E-3</v>
      </c>
      <c r="D208" s="5">
        <f ca="1">_xlfn.XLOOKUP(twoFiveTwo[[#This Row],[Date]],SGDJPY[Date],SGDJPY[Change %])</f>
        <v>5.8801242706676806E-3</v>
      </c>
      <c r="E208" s="5">
        <f ca="1">_xlfn.XLOOKUP(twoFiveTwo[[#This Row],[Date]],GBPUSD[Date],GBPUSD[Change %])</f>
        <v>6.9053516475267394E-3</v>
      </c>
    </row>
    <row r="209" spans="1:5" x14ac:dyDescent="0.35">
      <c r="A209" s="1" vm="46">
        <v>45562</v>
      </c>
      <c r="B209" s="5">
        <f ca="1">_xlfn.XLOOKUP(twoFiveTwo[[#This Row],[Date]],USDJPY[Date],USDJPY[Change %])</f>
        <v>-1.8024861878453133E-2</v>
      </c>
      <c r="C209" s="5">
        <f ca="1">_xlfn.XLOOKUP(twoFiveTwo[[#This Row],[Date]],EURUSD[Date],EURUSD[Change %])</f>
        <v>-1.1632068718681612E-3</v>
      </c>
      <c r="D209" s="5">
        <f ca="1">_xlfn.XLOOKUP(twoFiveTwo[[#This Row],[Date]],SGDJPY[Date],SGDJPY[Change %])</f>
        <v>-1.6798999593208193E-2</v>
      </c>
      <c r="E209" s="5">
        <f ca="1">_xlfn.XLOOKUP(twoFiveTwo[[#This Row],[Date]],GBPUSD[Date],GBPUSD[Change %])</f>
        <v>-3.130823704808037E-3</v>
      </c>
    </row>
    <row r="210" spans="1:5" x14ac:dyDescent="0.35">
      <c r="A210" s="1" vm="47">
        <v>45565</v>
      </c>
      <c r="B210" s="5">
        <f ca="1">_xlfn.XLOOKUP(twoFiveTwo[[#This Row],[Date]],USDJPY[Date],USDJPY[Change %])</f>
        <v>1.005696603136653E-2</v>
      </c>
      <c r="C210" s="5">
        <f ca="1">_xlfn.XLOOKUP(twoFiveTwo[[#This Row],[Date]],EURUSD[Date],EURUSD[Change %])</f>
        <v>-2.5978679566425913E-3</v>
      </c>
      <c r="D210" s="5">
        <f ca="1">_xlfn.XLOOKUP(twoFiveTwo[[#This Row],[Date]],SGDJPY[Date],SGDJPY[Change %])</f>
        <v>7.2274212943015332E-3</v>
      </c>
      <c r="E210" s="5">
        <f ca="1">_xlfn.XLOOKUP(twoFiveTwo[[#This Row],[Date]],GBPUSD[Date],GBPUSD[Change %])</f>
        <v>-2.2433261048378597E-4</v>
      </c>
    </row>
    <row r="211" spans="1:5" x14ac:dyDescent="0.35">
      <c r="A211" s="1" vm="48">
        <v>45566</v>
      </c>
      <c r="B211" s="5">
        <f ca="1">_xlfn.XLOOKUP(twoFiveTwo[[#This Row],[Date]],USDJPY[Date],USDJPY[Change %])</f>
        <v>-4.1776911293693266E-4</v>
      </c>
      <c r="C211" s="5">
        <f ca="1">_xlfn.XLOOKUP(twoFiveTwo[[#This Row],[Date]],EURUSD[Date],EURUSD[Change %])</f>
        <v>-6.0176037363031511E-3</v>
      </c>
      <c r="D211" s="5">
        <f ca="1">_xlfn.XLOOKUP(twoFiveTwo[[#This Row],[Date]],SGDJPY[Date],SGDJPY[Change %])</f>
        <v>-2.6677907005880678E-3</v>
      </c>
      <c r="E211" s="5">
        <f ca="1">_xlfn.XLOOKUP(twoFiveTwo[[#This Row],[Date]],GBPUSD[Date],GBPUSD[Change %])</f>
        <v>-6.3575168287209813E-3</v>
      </c>
    </row>
    <row r="212" spans="1:5" x14ac:dyDescent="0.35">
      <c r="A212" s="1" vm="49">
        <v>45567</v>
      </c>
      <c r="B212" s="5">
        <f ca="1">_xlfn.XLOOKUP(twoFiveTwo[[#This Row],[Date]],USDJPY[Date],USDJPY[Change %])</f>
        <v>2.0200612984118179E-2</v>
      </c>
      <c r="C212" s="5">
        <f ca="1">_xlfn.XLOOKUP(twoFiveTwo[[#This Row],[Date]],EURUSD[Date],EURUSD[Change %])</f>
        <v>-1.9878919309659166E-3</v>
      </c>
      <c r="D212" s="5">
        <f ca="1">_xlfn.XLOOKUP(twoFiveTwo[[#This Row],[Date]],SGDJPY[Date],SGDJPY[Change %])</f>
        <v>1.7121864857419403E-2</v>
      </c>
      <c r="E212" s="5">
        <f ca="1">_xlfn.XLOOKUP(twoFiveTwo[[#This Row],[Date]],GBPUSD[Date],GBPUSD[Change %])</f>
        <v>-1.3549115543846622E-3</v>
      </c>
    </row>
    <row r="213" spans="1:5" x14ac:dyDescent="0.35">
      <c r="A213" s="1" vm="50">
        <v>45568</v>
      </c>
      <c r="B213" s="5">
        <f ca="1">_xlfn.XLOOKUP(twoFiveTwo[[#This Row],[Date]],USDJPY[Date],USDJPY[Change %])</f>
        <v>3.1407892940050492E-3</v>
      </c>
      <c r="C213" s="5">
        <f ca="1">_xlfn.XLOOKUP(twoFiveTwo[[#This Row],[Date]],EURUSD[Date],EURUSD[Change %])</f>
        <v>-1.267541874151261E-3</v>
      </c>
      <c r="D213" s="5">
        <f ca="1">_xlfn.XLOOKUP(twoFiveTwo[[#This Row],[Date]],SGDJPY[Date],SGDJPY[Change %])</f>
        <v>-1.3330345547964504E-3</v>
      </c>
      <c r="E213" s="5">
        <f ca="1">_xlfn.XLOOKUP(twoFiveTwo[[#This Row],[Date]],GBPUSD[Date],GBPUSD[Change %])</f>
        <v>-1.0778623652672029E-2</v>
      </c>
    </row>
    <row r="214" spans="1:5" x14ac:dyDescent="0.35">
      <c r="A214" s="1" vm="51">
        <v>45569</v>
      </c>
      <c r="B214" s="5">
        <f ca="1">_xlfn.XLOOKUP(twoFiveTwo[[#This Row],[Date]],USDJPY[Date],USDJPY[Change %])</f>
        <v>1.2183501225156688E-2</v>
      </c>
      <c r="C214" s="5">
        <f ca="1">_xlfn.XLOOKUP(twoFiveTwo[[#This Row],[Date]],EURUSD[Date],EURUSD[Change %])</f>
        <v>-4.9859486900553536E-3</v>
      </c>
      <c r="D214" s="5">
        <f ca="1">_xlfn.XLOOKUP(twoFiveTwo[[#This Row],[Date]],SGDJPY[Date],SGDJPY[Change %])</f>
        <v>6.7447413544077361E-3</v>
      </c>
      <c r="E214" s="5">
        <f ca="1">_xlfn.XLOOKUP(twoFiveTwo[[#This Row],[Date]],GBPUSD[Date],GBPUSD[Change %])</f>
        <v>-6.0957025297158783E-4</v>
      </c>
    </row>
    <row r="215" spans="1:5" x14ac:dyDescent="0.35">
      <c r="A215" s="1" vm="52">
        <v>45572</v>
      </c>
      <c r="B215" s="5">
        <f ca="1">_xlfn.XLOOKUP(twoFiveTwo[[#This Row],[Date]],USDJPY[Date],USDJPY[Change %])</f>
        <v>-3.5639835922264885E-3</v>
      </c>
      <c r="C215" s="5">
        <f ca="1">_xlfn.XLOOKUP(twoFiveTwo[[#This Row],[Date]],EURUSD[Date],EURUSD[Change %])</f>
        <v>-1.8221574344021318E-4</v>
      </c>
      <c r="D215" s="5">
        <f ca="1">_xlfn.XLOOKUP(twoFiveTwo[[#This Row],[Date]],SGDJPY[Date],SGDJPY[Change %])</f>
        <v>-3.1062767850561692E-3</v>
      </c>
      <c r="E215" s="5">
        <f ca="1">_xlfn.XLOOKUP(twoFiveTwo[[#This Row],[Date]],GBPUSD[Date],GBPUSD[Change %])</f>
        <v>-2.5160109789570603E-3</v>
      </c>
    </row>
    <row r="216" spans="1:5" x14ac:dyDescent="0.35">
      <c r="A216" s="1" vm="53">
        <v>45573</v>
      </c>
      <c r="B216" s="5">
        <f ca="1">_xlfn.XLOOKUP(twoFiveTwo[[#This Row],[Date]],USDJPY[Date],USDJPY[Change %])</f>
        <v>6.7485490619455417E-5</v>
      </c>
      <c r="C216" s="5">
        <f ca="1">_xlfn.XLOOKUP(twoFiveTwo[[#This Row],[Date]],EURUSD[Date],EURUSD[Change %])</f>
        <v>5.4674685620571893E-4</v>
      </c>
      <c r="D216" s="5">
        <f ca="1">_xlfn.XLOOKUP(twoFiveTwo[[#This Row],[Date]],SGDJPY[Date],SGDJPY[Change %])</f>
        <v>2.97512164550628E-4</v>
      </c>
      <c r="E216" s="5">
        <f ca="1">_xlfn.XLOOKUP(twoFiveTwo[[#This Row],[Date]],GBPUSD[Date],GBPUSD[Change %])</f>
        <v>1.6051364365971036E-3</v>
      </c>
    </row>
    <row r="217" spans="1:5" x14ac:dyDescent="0.35">
      <c r="A217" s="1" vm="54">
        <v>45574</v>
      </c>
      <c r="B217" s="5">
        <f ca="1">_xlfn.XLOOKUP(twoFiveTwo[[#This Row],[Date]],USDJPY[Date],USDJPY[Change %])</f>
        <v>7.4229030298940167E-3</v>
      </c>
      <c r="C217" s="5">
        <f ca="1">_xlfn.XLOOKUP(twoFiveTwo[[#This Row],[Date]],EURUSD[Date],EURUSD[Change %])</f>
        <v>-3.7340619307832351E-3</v>
      </c>
      <c r="D217" s="5">
        <f ca="1">_xlfn.XLOOKUP(twoFiveTwo[[#This Row],[Date]],SGDJPY[Date],SGDJPY[Change %])</f>
        <v>4.8802121739558368E-3</v>
      </c>
      <c r="E217" s="5">
        <f ca="1">_xlfn.XLOOKUP(twoFiveTwo[[#This Row],[Date]],GBPUSD[Date],GBPUSD[Change %])</f>
        <v>-2.5946275946276479E-3</v>
      </c>
    </row>
    <row r="218" spans="1:5" x14ac:dyDescent="0.35">
      <c r="A218" s="1" vm="55">
        <v>45575</v>
      </c>
      <c r="B218" s="5">
        <f ca="1">_xlfn.XLOOKUP(twoFiveTwo[[#This Row],[Date]],USDJPY[Date],USDJPY[Change %])</f>
        <v>-4.8898117757384275E-3</v>
      </c>
      <c r="C218" s="5">
        <f ca="1">_xlfn.XLOOKUP(twoFiveTwo[[#This Row],[Date]],EURUSD[Date],EURUSD[Change %])</f>
        <v>-3.656641374898784E-4</v>
      </c>
      <c r="D218" s="5">
        <f ca="1">_xlfn.XLOOKUP(twoFiveTwo[[#This Row],[Date]],SGDJPY[Date],SGDJPY[Change %])</f>
        <v>-3.6699673897433588E-3</v>
      </c>
      <c r="E218" s="5">
        <f ca="1">_xlfn.XLOOKUP(twoFiveTwo[[#This Row],[Date]],GBPUSD[Date],GBPUSD[Change %])</f>
        <v>-9.1813312930364799E-4</v>
      </c>
    </row>
    <row r="219" spans="1:5" x14ac:dyDescent="0.35">
      <c r="A219" s="1" vm="56">
        <v>45576</v>
      </c>
      <c r="B219" s="5">
        <f ca="1">_xlfn.XLOOKUP(twoFiveTwo[[#This Row],[Date]],USDJPY[Date],USDJPY[Change %])</f>
        <v>3.8368336025847681E-3</v>
      </c>
      <c r="C219" s="5">
        <f ca="1">_xlfn.XLOOKUP(twoFiveTwo[[#This Row],[Date]],EURUSD[Date],EURUSD[Change %])</f>
        <v>1.8289894833102696E-4</v>
      </c>
      <c r="D219" s="5">
        <f ca="1">_xlfn.XLOOKUP(twoFiveTwo[[#This Row],[Date]],SGDJPY[Date],SGDJPY[Change %])</f>
        <v>4.3751829218452234E-3</v>
      </c>
      <c r="E219" s="5">
        <f ca="1">_xlfn.XLOOKUP(twoFiveTwo[[#This Row],[Date]],GBPUSD[Date],GBPUSD[Change %])</f>
        <v>6.1265124827685087E-4</v>
      </c>
    </row>
    <row r="220" spans="1:5" x14ac:dyDescent="0.35">
      <c r="A220" s="1" vm="57">
        <v>45579</v>
      </c>
      <c r="B220" s="5">
        <f ca="1">_xlfn.XLOOKUP(twoFiveTwo[[#This Row],[Date]],USDJPY[Date],USDJPY[Change %])</f>
        <v>4.157446523167737E-3</v>
      </c>
      <c r="C220" s="5">
        <f ca="1">_xlfn.XLOOKUP(twoFiveTwo[[#This Row],[Date]],EURUSD[Date],EURUSD[Change %])</f>
        <v>-2.5601170339214722E-3</v>
      </c>
      <c r="D220" s="5">
        <f ca="1">_xlfn.XLOOKUP(twoFiveTwo[[#This Row],[Date]],SGDJPY[Date],SGDJPY[Change %])</f>
        <v>1.471001322238632E-3</v>
      </c>
      <c r="E220" s="5">
        <f ca="1">_xlfn.XLOOKUP(twoFiveTwo[[#This Row],[Date]],GBPUSD[Date],GBPUSD[Change %])</f>
        <v>-5.357416194703221E-4</v>
      </c>
    </row>
    <row r="221" spans="1:5" x14ac:dyDescent="0.35">
      <c r="A221" s="1" vm="58">
        <v>45580</v>
      </c>
      <c r="B221" s="5">
        <f ca="1">_xlfn.XLOOKUP(twoFiveTwo[[#This Row],[Date]],USDJPY[Date],USDJPY[Change %])</f>
        <v>-3.7395659432387465E-3</v>
      </c>
      <c r="C221" s="5">
        <f ca="1">_xlfn.XLOOKUP(twoFiveTwo[[#This Row],[Date]],EURUSD[Date],EURUSD[Change %])</f>
        <v>-1.7416811806765175E-3</v>
      </c>
      <c r="D221" s="5">
        <f ca="1">_xlfn.XLOOKUP(twoFiveTwo[[#This Row],[Date]],SGDJPY[Date],SGDJPY[Change %])</f>
        <v>-4.500017475796027E-3</v>
      </c>
      <c r="E221" s="5">
        <f ca="1">_xlfn.XLOOKUP(twoFiveTwo[[#This Row],[Date]],GBPUSD[Date],GBPUSD[Change %])</f>
        <v>9.9548204303534483E-4</v>
      </c>
    </row>
    <row r="222" spans="1:5" x14ac:dyDescent="0.35">
      <c r="A222" s="1" vm="59">
        <v>45581</v>
      </c>
      <c r="B222" s="5">
        <f ca="1">_xlfn.XLOOKUP(twoFiveTwo[[#This Row],[Date]],USDJPY[Date],USDJPY[Change %])</f>
        <v>2.8822307125142893E-3</v>
      </c>
      <c r="C222" s="5">
        <f ca="1">_xlfn.XLOOKUP(twoFiveTwo[[#This Row],[Date]],EURUSD[Date],EURUSD[Change %])</f>
        <v>-2.6629935720843918E-3</v>
      </c>
      <c r="D222" s="5">
        <f ca="1">_xlfn.XLOOKUP(twoFiveTwo[[#This Row],[Date]],SGDJPY[Date],SGDJPY[Change %])</f>
        <v>-2.0188011831976914E-5</v>
      </c>
      <c r="E222" s="5">
        <f ca="1">_xlfn.XLOOKUP(twoFiveTwo[[#This Row],[Date]],GBPUSD[Date],GBPUSD[Change %])</f>
        <v>-6.2729498164014576E-3</v>
      </c>
    </row>
    <row r="223" spans="1:5" x14ac:dyDescent="0.35">
      <c r="A223" s="1" vm="60">
        <v>45582</v>
      </c>
      <c r="B223" s="5">
        <f ca="1">_xlfn.XLOOKUP(twoFiveTwo[[#This Row],[Date]],USDJPY[Date],USDJPY[Change %])</f>
        <v>3.876487100654886E-3</v>
      </c>
      <c r="C223" s="5">
        <f ca="1">_xlfn.XLOOKUP(twoFiveTwo[[#This Row],[Date]],EURUSD[Date],EURUSD[Change %])</f>
        <v>-2.7621765951570884E-3</v>
      </c>
      <c r="D223" s="5">
        <f ca="1">_xlfn.XLOOKUP(twoFiveTwo[[#This Row],[Date]],SGDJPY[Date],SGDJPY[Change %])</f>
        <v>2.884310701530095E-3</v>
      </c>
      <c r="E223" s="5">
        <f ca="1">_xlfn.XLOOKUP(twoFiveTwo[[#This Row],[Date]],GBPUSD[Date],GBPUSD[Change %])</f>
        <v>1.5396458814472685E-3</v>
      </c>
    </row>
    <row r="224" spans="1:5" x14ac:dyDescent="0.35">
      <c r="A224" s="1" vm="61">
        <v>45583</v>
      </c>
      <c r="B224" s="5">
        <f ca="1">_xlfn.XLOOKUP(twoFiveTwo[[#This Row],[Date]],USDJPY[Date],USDJPY[Change %])</f>
        <v>-4.527296937416634E-3</v>
      </c>
      <c r="C224" s="5">
        <f ca="1">_xlfn.XLOOKUP(twoFiveTwo[[#This Row],[Date]],EURUSD[Date],EURUSD[Change %])</f>
        <v>3.2314652386668439E-3</v>
      </c>
      <c r="D224" s="5">
        <f ca="1">_xlfn.XLOOKUP(twoFiveTwo[[#This Row],[Date]],SGDJPY[Date],SGDJPY[Change %])</f>
        <v>-1.4126259350769762E-3</v>
      </c>
      <c r="E224" s="5">
        <f ca="1">_xlfn.XLOOKUP(twoFiveTwo[[#This Row],[Date]],GBPUSD[Date],GBPUSD[Change %])</f>
        <v>2.9208301306687364E-3</v>
      </c>
    </row>
    <row r="225" spans="1:5" x14ac:dyDescent="0.35">
      <c r="A225" s="1" vm="62">
        <v>45586</v>
      </c>
      <c r="B225" s="5">
        <f ca="1">_xlfn.XLOOKUP(twoFiveTwo[[#This Row],[Date]],USDJPY[Date],USDJPY[Change %])</f>
        <v>8.7613697164259114E-3</v>
      </c>
      <c r="C225" s="5">
        <f ca="1">_xlfn.XLOOKUP(twoFiveTwo[[#This Row],[Date]],EURUSD[Date],EURUSD[Change %])</f>
        <v>-4.6935394809498477E-3</v>
      </c>
      <c r="D225" s="5">
        <f ca="1">_xlfn.XLOOKUP(twoFiveTwo[[#This Row],[Date]],SGDJPY[Date],SGDJPY[Change %])</f>
        <v>4.2394904547920515E-3</v>
      </c>
      <c r="E225" s="5">
        <f ca="1">_xlfn.XLOOKUP(twoFiveTwo[[#This Row],[Date]],GBPUSD[Date],GBPUSD[Change %])</f>
        <v>-4.9049662783568065E-3</v>
      </c>
    </row>
    <row r="226" spans="1:5" x14ac:dyDescent="0.35">
      <c r="A226" s="1" vm="63">
        <v>45587</v>
      </c>
      <c r="B226" s="5">
        <f ca="1">_xlfn.XLOOKUP(twoFiveTwo[[#This Row],[Date]],USDJPY[Date],USDJPY[Change %])</f>
        <v>1.5248955778027564E-3</v>
      </c>
      <c r="C226" s="5">
        <f ca="1">_xlfn.XLOOKUP(twoFiveTwo[[#This Row],[Date]],EURUSD[Date],EURUSD[Change %])</f>
        <v>-1.6643550624131317E-3</v>
      </c>
      <c r="D226" s="5">
        <f ca="1">_xlfn.XLOOKUP(twoFiveTwo[[#This Row],[Date]],SGDJPY[Date],SGDJPY[Change %])</f>
        <v>1.3728686933570978E-3</v>
      </c>
      <c r="E226" s="5">
        <f ca="1">_xlfn.XLOOKUP(twoFiveTwo[[#This Row],[Date]],GBPUSD[Date],GBPUSD[Change %])</f>
        <v>-7.7017868145401255E-5</v>
      </c>
    </row>
    <row r="227" spans="1:5" x14ac:dyDescent="0.35">
      <c r="A227" s="1" vm="64">
        <v>45588</v>
      </c>
      <c r="B227" s="5">
        <f ca="1">_xlfn.XLOOKUP(twoFiveTwo[[#This Row],[Date]],USDJPY[Date],USDJPY[Change %])</f>
        <v>1.1187607573149726E-2</v>
      </c>
      <c r="C227" s="5">
        <f ca="1">_xlfn.XLOOKUP(twoFiveTwo[[#This Row],[Date]],EURUSD[Date],EURUSD[Change %])</f>
        <v>-1.4818931184588735E-3</v>
      </c>
      <c r="D227" s="5">
        <f ca="1">_xlfn.XLOOKUP(twoFiveTwo[[#This Row],[Date]],SGDJPY[Date],SGDJPY[Change %])</f>
        <v>6.1437278456686608E-3</v>
      </c>
      <c r="E227" s="5">
        <f ca="1">_xlfn.XLOOKUP(twoFiveTwo[[#This Row],[Date]],GBPUSD[Date],GBPUSD[Change %])</f>
        <v>-4.8524994223214761E-3</v>
      </c>
    </row>
    <row r="228" spans="1:5" x14ac:dyDescent="0.35">
      <c r="A228" s="1" vm="65">
        <v>45589</v>
      </c>
      <c r="B228" s="5">
        <f ca="1">_xlfn.XLOOKUP(twoFiveTwo[[#This Row],[Date]],USDJPY[Date],USDJPY[Change %])</f>
        <v>-6.0883797054010263E-3</v>
      </c>
      <c r="C228" s="5">
        <f ca="1">_xlfn.XLOOKUP(twoFiveTwo[[#This Row],[Date]],EURUSD[Date],EURUSD[Change %])</f>
        <v>4.2667656061589248E-3</v>
      </c>
      <c r="D228" s="5">
        <f ca="1">_xlfn.XLOOKUP(twoFiveTwo[[#This Row],[Date]],SGDJPY[Date],SGDJPY[Change %])</f>
        <v>-2.3180913341845845E-3</v>
      </c>
      <c r="E228" s="5">
        <f ca="1">_xlfn.XLOOKUP(twoFiveTwo[[#This Row],[Date]],GBPUSD[Date],GBPUSD[Change %])</f>
        <v>4.0247678018574852E-3</v>
      </c>
    </row>
    <row r="229" spans="1:5" x14ac:dyDescent="0.35">
      <c r="A229" s="1" vm="66">
        <v>45590</v>
      </c>
      <c r="B229" s="5">
        <f ca="1">_xlfn.XLOOKUP(twoFiveTwo[[#This Row],[Date]],USDJPY[Date],USDJPY[Change %])</f>
        <v>3.1616387827691885E-3</v>
      </c>
      <c r="C229" s="5">
        <f ca="1">_xlfn.XLOOKUP(twoFiveTwo[[#This Row],[Date]],EURUSD[Date],EURUSD[Change %])</f>
        <v>-3.1402974046366209E-3</v>
      </c>
      <c r="D229" s="5">
        <f ca="1">_xlfn.XLOOKUP(twoFiveTwo[[#This Row],[Date]],SGDJPY[Date],SGDJPY[Change %])</f>
        <v>3.5425215459972267E-4</v>
      </c>
      <c r="E229" s="5">
        <f ca="1">_xlfn.XLOOKUP(twoFiveTwo[[#This Row],[Date]],GBPUSD[Date],GBPUSD[Change %])</f>
        <v>-1.0021584952203647E-3</v>
      </c>
    </row>
    <row r="230" spans="1:5" x14ac:dyDescent="0.35">
      <c r="A230" s="1" vm="67">
        <v>45593</v>
      </c>
      <c r="B230" s="5">
        <f ca="1">_xlfn.XLOOKUP(twoFiveTwo[[#This Row],[Date]],USDJPY[Date],USDJPY[Change %])</f>
        <v>6.4346684175967802E-3</v>
      </c>
      <c r="C230" s="5">
        <f ca="1">_xlfn.XLOOKUP(twoFiveTwo[[#This Row],[Date]],EURUSD[Date],EURUSD[Change %])</f>
        <v>1.7604002594274186E-3</v>
      </c>
      <c r="D230" s="5">
        <f ca="1">_xlfn.XLOOKUP(twoFiveTwo[[#This Row],[Date]],SGDJPY[Date],SGDJPY[Change %])</f>
        <v>5.5974586201210539E-3</v>
      </c>
      <c r="E230" s="5">
        <f ca="1">_xlfn.XLOOKUP(twoFiveTwo[[#This Row],[Date]],GBPUSD[Date],GBPUSD[Change %])</f>
        <v>9.2599737634066503E-4</v>
      </c>
    </row>
    <row r="231" spans="1:5" x14ac:dyDescent="0.35">
      <c r="A231" s="1" vm="68">
        <v>45594</v>
      </c>
      <c r="B231" s="5">
        <f ca="1">_xlfn.XLOOKUP(twoFiveTwo[[#This Row],[Date]],USDJPY[Date],USDJPY[Change %])</f>
        <v>4.566805845511037E-4</v>
      </c>
      <c r="C231" s="5">
        <f ca="1">_xlfn.XLOOKUP(twoFiveTwo[[#This Row],[Date]],EURUSD[Date],EURUSD[Change %])</f>
        <v>5.5493895671490569E-4</v>
      </c>
      <c r="D231" s="5">
        <f ca="1">_xlfn.XLOOKUP(twoFiveTwo[[#This Row],[Date]],SGDJPY[Date],SGDJPY[Change %])</f>
        <v>-7.5178300314442624E-4</v>
      </c>
      <c r="E231" s="5">
        <f ca="1">_xlfn.XLOOKUP(twoFiveTwo[[#This Row],[Date]],GBPUSD[Date],GBPUSD[Change %])</f>
        <v>3.3921825610979737E-3</v>
      </c>
    </row>
    <row r="232" spans="1:5" x14ac:dyDescent="0.35">
      <c r="A232" s="1" vm="69">
        <v>45595</v>
      </c>
      <c r="B232" s="5">
        <f ca="1">_xlfn.XLOOKUP(twoFiveTwo[[#This Row],[Date]],USDJPY[Date],USDJPY[Change %])</f>
        <v>3.9126181936747492E-4</v>
      </c>
      <c r="C232" s="5">
        <f ca="1">_xlfn.XLOOKUP(twoFiveTwo[[#This Row],[Date]],EURUSD[Date],EURUSD[Change %])</f>
        <v>3.420225550009072E-3</v>
      </c>
      <c r="D232" s="5">
        <f ca="1">_xlfn.XLOOKUP(twoFiveTwo[[#This Row],[Date]],SGDJPY[Date],SGDJPY[Change %])</f>
        <v>2.0454207796784885E-3</v>
      </c>
      <c r="E232" s="5">
        <f ca="1">_xlfn.XLOOKUP(twoFiveTwo[[#This Row],[Date]],GBPUSD[Date],GBPUSD[Change %])</f>
        <v>-4.0722243565117803E-3</v>
      </c>
    </row>
    <row r="233" spans="1:5" x14ac:dyDescent="0.35">
      <c r="A233" s="1" vm="70">
        <v>45596</v>
      </c>
      <c r="B233" s="5">
        <f ca="1">_xlfn.XLOOKUP(twoFiveTwo[[#This Row],[Date]],USDJPY[Date],USDJPY[Change %])</f>
        <v>-8.995502248875532E-3</v>
      </c>
      <c r="C233" s="5">
        <f ca="1">_xlfn.XLOOKUP(twoFiveTwo[[#This Row],[Date]],EURUSD[Date],EURUSD[Change %])</f>
        <v>2.5794564716721657E-3</v>
      </c>
      <c r="D233" s="5">
        <f ca="1">_xlfn.XLOOKUP(twoFiveTwo[[#This Row],[Date]],SGDJPY[Date],SGDJPY[Change %])</f>
        <v>-7.3340022550246057E-3</v>
      </c>
      <c r="E233" s="5">
        <f ca="1">_xlfn.XLOOKUP(twoFiveTwo[[#This Row],[Date]],GBPUSD[Date],GBPUSD[Change %])</f>
        <v>-4.9375096435734928E-3</v>
      </c>
    </row>
    <row r="234" spans="1:5" x14ac:dyDescent="0.35">
      <c r="A234" s="1" vm="71">
        <v>45597</v>
      </c>
      <c r="B234" s="5">
        <f ca="1">_xlfn.XLOOKUP(twoFiveTwo[[#This Row],[Date]],USDJPY[Date],USDJPY[Change %])</f>
        <v>6.2487666907846389E-3</v>
      </c>
      <c r="C234" s="5">
        <f ca="1">_xlfn.XLOOKUP(twoFiveTwo[[#This Row],[Date]],EURUSD[Date],EURUSD[Change %])</f>
        <v>-4.5024349903520413E-3</v>
      </c>
      <c r="D234" s="5">
        <f ca="1">_xlfn.XLOOKUP(twoFiveTwo[[#This Row],[Date]],SGDJPY[Date],SGDJPY[Change %])</f>
        <v>1.3946202047990417E-3</v>
      </c>
      <c r="E234" s="5">
        <f ca="1">_xlfn.XLOOKUP(twoFiveTwo[[#This Row],[Date]],GBPUSD[Date],GBPUSD[Change %])</f>
        <v>2.1708792060783949E-3</v>
      </c>
    </row>
    <row r="235" spans="1:5" x14ac:dyDescent="0.35">
      <c r="A235" s="1" vm="72">
        <v>45600</v>
      </c>
      <c r="B235" s="5">
        <f ca="1">_xlfn.XLOOKUP(twoFiveTwo[[#This Row],[Date]],USDJPY[Date],USDJPY[Change %])</f>
        <v>-5.5562818669106706E-3</v>
      </c>
      <c r="C235" s="5">
        <f ca="1">_xlfn.XLOOKUP(twoFiveTwo[[#This Row],[Date]],EURUSD[Date],EURUSD[Change %])</f>
        <v>3.9689865239061943E-3</v>
      </c>
      <c r="D235" s="5">
        <f ca="1">_xlfn.XLOOKUP(twoFiveTwo[[#This Row],[Date]],SGDJPY[Date],SGDJPY[Change %])</f>
        <v>-5.0902986019457381E-4</v>
      </c>
      <c r="E235" s="5">
        <f ca="1">_xlfn.XLOOKUP(twoFiveTwo[[#This Row],[Date]],GBPUSD[Date],GBPUSD[Change %])</f>
        <v>2.3982670586415772E-3</v>
      </c>
    </row>
    <row r="236" spans="1:5" x14ac:dyDescent="0.35">
      <c r="A236" s="1" vm="73">
        <v>45601</v>
      </c>
      <c r="B236" s="5">
        <f ca="1">_xlfn.XLOOKUP(twoFiveTwo[[#This Row],[Date]],USDJPY[Date],USDJPY[Change %])</f>
        <v>-3.4838624860316909E-3</v>
      </c>
      <c r="C236" s="5">
        <f ca="1">_xlfn.XLOOKUP(twoFiveTwo[[#This Row],[Date]],EURUSD[Date],EURUSD[Change %])</f>
        <v>4.8726670957066126E-3</v>
      </c>
      <c r="D236" s="5">
        <f ca="1">_xlfn.XLOOKUP(twoFiveTwo[[#This Row],[Date]],SGDJPY[Date],SGDJPY[Change %])</f>
        <v>5.2403853244918901E-4</v>
      </c>
      <c r="E236" s="5">
        <f ca="1">_xlfn.XLOOKUP(twoFiveTwo[[#This Row],[Date]],GBPUSD[Date],GBPUSD[Change %])</f>
        <v>6.4829821717989986E-3</v>
      </c>
    </row>
    <row r="237" spans="1:5" x14ac:dyDescent="0.35">
      <c r="A237" s="1" vm="74">
        <v>45602</v>
      </c>
      <c r="B237" s="5">
        <f ca="1">_xlfn.XLOOKUP(twoFiveTwo[[#This Row],[Date]],USDJPY[Date],USDJPY[Change %])</f>
        <v>1.9986807387862807E-2</v>
      </c>
      <c r="C237" s="5">
        <f ca="1">_xlfn.XLOOKUP(twoFiveTwo[[#This Row],[Date]],EURUSD[Date],EURUSD[Change %])</f>
        <v>-1.8481244281793225E-2</v>
      </c>
      <c r="D237" s="5">
        <f ca="1">_xlfn.XLOOKUP(twoFiveTwo[[#This Row],[Date]],SGDJPY[Date],SGDJPY[Change %])</f>
        <v>5.38939343092339E-3</v>
      </c>
      <c r="E237" s="5">
        <f ca="1">_xlfn.XLOOKUP(twoFiveTwo[[#This Row],[Date]],GBPUSD[Date],GBPUSD[Change %])</f>
        <v>-1.2499041484548716E-2</v>
      </c>
    </row>
    <row r="238" spans="1:5" x14ac:dyDescent="0.35">
      <c r="A238" s="1" vm="75">
        <v>45603</v>
      </c>
      <c r="B238" s="5">
        <f ca="1">_xlfn.XLOOKUP(twoFiveTwo[[#This Row],[Date]],USDJPY[Date],USDJPY[Change %])</f>
        <v>-1.0993985643148086E-2</v>
      </c>
      <c r="C238" s="5">
        <f ca="1">_xlfn.XLOOKUP(twoFiveTwo[[#This Row],[Date]],EURUSD[Date],EURUSD[Change %])</f>
        <v>7.0842654735272662E-3</v>
      </c>
      <c r="D238" s="5">
        <f ca="1">_xlfn.XLOOKUP(twoFiveTwo[[#This Row],[Date]],SGDJPY[Date],SGDJPY[Change %])</f>
        <v>-8.806233536828961E-4</v>
      </c>
      <c r="E238" s="5">
        <f ca="1">_xlfn.XLOOKUP(twoFiveTwo[[#This Row],[Date]],GBPUSD[Date],GBPUSD[Change %])</f>
        <v>8.3863954030128276E-3</v>
      </c>
    </row>
    <row r="239" spans="1:5" x14ac:dyDescent="0.35">
      <c r="A239" s="1" vm="76">
        <v>45604</v>
      </c>
      <c r="B239" s="5">
        <f ca="1">_xlfn.XLOOKUP(twoFiveTwo[[#This Row],[Date]],USDJPY[Date],USDJPY[Change %])</f>
        <v>-1.9616818152096475E-3</v>
      </c>
      <c r="C239" s="5">
        <f ca="1">_xlfn.XLOOKUP(twoFiveTwo[[#This Row],[Date]],EURUSD[Date],EURUSD[Change %])</f>
        <v>-7.9600148093298233E-3</v>
      </c>
      <c r="D239" s="5">
        <f ca="1">_xlfn.XLOOKUP(twoFiveTwo[[#This Row],[Date]],SGDJPY[Date],SGDJPY[Change %])</f>
        <v>-6.9260220047739091E-3</v>
      </c>
      <c r="E239" s="5">
        <f ca="1">_xlfn.XLOOKUP(twoFiveTwo[[#This Row],[Date]],GBPUSD[Date],GBPUSD[Change %])</f>
        <v>-5.005390420452757E-3</v>
      </c>
    </row>
    <row r="240" spans="1:5" x14ac:dyDescent="0.35">
      <c r="A240" s="1" vm="77">
        <v>45607</v>
      </c>
      <c r="B240" s="5">
        <f ca="1">_xlfn.XLOOKUP(twoFiveTwo[[#This Row],[Date]],USDJPY[Date],USDJPY[Change %])</f>
        <v>7.0759352682959612E-3</v>
      </c>
      <c r="C240" s="5">
        <f ca="1">_xlfn.XLOOKUP(twoFiveTwo[[#This Row],[Date]],EURUSD[Date],EURUSD[Change %])</f>
        <v>-5.9712632953911014E-3</v>
      </c>
      <c r="D240" s="5">
        <f ca="1">_xlfn.XLOOKUP(twoFiveTwo[[#This Row],[Date]],SGDJPY[Date],SGDJPY[Change %])</f>
        <v>1.4152066914588997E-3</v>
      </c>
      <c r="E240" s="5">
        <f ca="1">_xlfn.XLOOKUP(twoFiveTwo[[#This Row],[Date]],GBPUSD[Date],GBPUSD[Change %])</f>
        <v>-4.0244563114310763E-3</v>
      </c>
    </row>
    <row r="241" spans="1:5" x14ac:dyDescent="0.35">
      <c r="A241" s="1" vm="78">
        <v>45608</v>
      </c>
      <c r="B241" s="5">
        <f ca="1">_xlfn.XLOOKUP(twoFiveTwo[[#This Row],[Date]],USDJPY[Date],USDJPY[Change %])</f>
        <v>5.7901242599699846E-3</v>
      </c>
      <c r="C241" s="5">
        <f ca="1">_xlfn.XLOOKUP(twoFiveTwo[[#This Row],[Date]],EURUSD[Date],EURUSD[Change %])</f>
        <v>-2.9097052750139676E-3</v>
      </c>
      <c r="D241" s="5">
        <f ca="1">_xlfn.XLOOKUP(twoFiveTwo[[#This Row],[Date]],SGDJPY[Date],SGDJPY[Change %])</f>
        <v>2.633703417564357E-3</v>
      </c>
      <c r="E241" s="5">
        <f ca="1">_xlfn.XLOOKUP(twoFiveTwo[[#This Row],[Date]],GBPUSD[Date],GBPUSD[Change %])</f>
        <v>-9.4801460874970774E-3</v>
      </c>
    </row>
    <row r="242" spans="1:5" x14ac:dyDescent="0.35">
      <c r="A242" s="1" vm="79">
        <v>45609</v>
      </c>
      <c r="B242" s="5">
        <f ca="1">_xlfn.XLOOKUP(twoFiveTwo[[#This Row],[Date]],USDJPY[Date],USDJPY[Change %])</f>
        <v>5.49805950840876E-3</v>
      </c>
      <c r="C242" s="5">
        <f ca="1">_xlfn.XLOOKUP(twoFiveTwo[[#This Row],[Date]],EURUSD[Date],EURUSD[Change %])</f>
        <v>-5.6481219994351925E-3</v>
      </c>
      <c r="D242" s="5">
        <f ca="1">_xlfn.XLOOKUP(twoFiveTwo[[#This Row],[Date]],SGDJPY[Date],SGDJPY[Change %])</f>
        <v>2.2034174181662656E-3</v>
      </c>
      <c r="E242" s="5">
        <f ca="1">_xlfn.XLOOKUP(twoFiveTwo[[#This Row],[Date]],GBPUSD[Date],GBPUSD[Change %])</f>
        <v>-3.4517925786459241E-3</v>
      </c>
    </row>
    <row r="243" spans="1:5" x14ac:dyDescent="0.35">
      <c r="A243" s="1" vm="80">
        <v>45610</v>
      </c>
      <c r="B243" s="5">
        <f ca="1">_xlfn.XLOOKUP(twoFiveTwo[[#This Row],[Date]],USDJPY[Date],USDJPY[Change %])</f>
        <v>5.1463493084593854E-3</v>
      </c>
      <c r="C243" s="5">
        <f ca="1">_xlfn.XLOOKUP(twoFiveTwo[[#This Row],[Date]],EURUSD[Date],EURUSD[Change %])</f>
        <v>-3.1241124680489261E-3</v>
      </c>
      <c r="D243" s="5">
        <f ca="1">_xlfn.XLOOKUP(twoFiveTwo[[#This Row],[Date]],SGDJPY[Date],SGDJPY[Change %])</f>
        <v>2.385170991966782E-3</v>
      </c>
      <c r="E243" s="5">
        <f ca="1">_xlfn.XLOOKUP(twoFiveTwo[[#This Row],[Date]],GBPUSD[Date],GBPUSD[Change %])</f>
        <v>-2.9914193497599193E-3</v>
      </c>
    </row>
    <row r="244" spans="1:5" x14ac:dyDescent="0.35">
      <c r="A244" s="1" vm="81">
        <v>45611</v>
      </c>
      <c r="B244" s="5">
        <f ca="1">_xlfn.XLOOKUP(twoFiveTwo[[#This Row],[Date]],USDJPY[Date],USDJPY[Change %])</f>
        <v>-1.2223999999999978E-2</v>
      </c>
      <c r="C244" s="5">
        <f ca="1">_xlfn.XLOOKUP(twoFiveTwo[[#This Row],[Date]],EURUSD[Date],EURUSD[Change %])</f>
        <v>1.0446343779678072E-3</v>
      </c>
      <c r="D244" s="5">
        <f ca="1">_xlfn.XLOOKUP(twoFiveTwo[[#This Row],[Date]],SGDJPY[Date],SGDJPY[Change %])</f>
        <v>-9.5024691251626298E-3</v>
      </c>
      <c r="E244" s="5">
        <f ca="1">_xlfn.XLOOKUP(twoFiveTwo[[#This Row],[Date]],GBPUSD[Date],GBPUSD[Change %])</f>
        <v>-3.7899723647847735E-3</v>
      </c>
    </row>
    <row r="245" spans="1:5" x14ac:dyDescent="0.35">
      <c r="A245" s="1" vm="82">
        <v>45614</v>
      </c>
      <c r="B245" s="5">
        <f ca="1">_xlfn.XLOOKUP(twoFiveTwo[[#This Row],[Date]],USDJPY[Date],USDJPY[Change %])</f>
        <v>2.0085525463263074E-3</v>
      </c>
      <c r="C245" s="5">
        <f ca="1">_xlfn.XLOOKUP(twoFiveTwo[[#This Row],[Date]],EURUSD[Date],EURUSD[Change %])</f>
        <v>5.5023242576605893E-3</v>
      </c>
      <c r="D245" s="5">
        <f ca="1">_xlfn.XLOOKUP(twoFiveTwo[[#This Row],[Date]],SGDJPY[Date],SGDJPY[Change %])</f>
        <v>4.9264598400422773E-3</v>
      </c>
      <c r="E245" s="5">
        <f ca="1">_xlfn.XLOOKUP(twoFiveTwo[[#This Row],[Date]],GBPUSD[Date],GBPUSD[Change %])</f>
        <v>4.6762304826821087E-3</v>
      </c>
    </row>
    <row r="246" spans="1:5" x14ac:dyDescent="0.35">
      <c r="A246" s="1" vm="83">
        <v>45615</v>
      </c>
      <c r="B246" s="5">
        <f ca="1">_xlfn.XLOOKUP(twoFiveTwo[[#This Row],[Date]],USDJPY[Date],USDJPY[Change %])</f>
        <v>0</v>
      </c>
      <c r="C246" s="5">
        <f ca="1">_xlfn.XLOOKUP(twoFiveTwo[[#This Row],[Date]],EURUSD[Date],EURUSD[Change %])</f>
        <v>-3.7739409378239073E-4</v>
      </c>
      <c r="D246" s="5">
        <f ca="1">_xlfn.XLOOKUP(twoFiveTwo[[#This Row],[Date]],SGDJPY[Date],SGDJPY[Change %])</f>
        <v>3.740369846384984E-4</v>
      </c>
      <c r="E246" s="5">
        <f ca="1">_xlfn.XLOOKUP(twoFiveTwo[[#This Row],[Date]],GBPUSD[Date],GBPUSD[Change %])</f>
        <v>4.7333543704633474E-4</v>
      </c>
    </row>
    <row r="247" spans="1:5" x14ac:dyDescent="0.35">
      <c r="A247" s="1" vm="84">
        <v>45616</v>
      </c>
      <c r="B247" s="5">
        <f ca="1">_xlfn.XLOOKUP(twoFiveTwo[[#This Row],[Date]],USDJPY[Date],USDJPY[Change %])</f>
        <v>5.0436469447138772E-3</v>
      </c>
      <c r="C247" s="5">
        <f ca="1">_xlfn.XLOOKUP(twoFiveTwo[[#This Row],[Date]],EURUSD[Date],EURUSD[Change %])</f>
        <v>-4.9079754601227873E-3</v>
      </c>
      <c r="D247" s="5">
        <f ca="1">_xlfn.XLOOKUP(twoFiveTwo[[#This Row],[Date]],SGDJPY[Date],SGDJPY[Change %])</f>
        <v>1.3778801763548012E-3</v>
      </c>
      <c r="E247" s="5">
        <f ca="1">_xlfn.XLOOKUP(twoFiveTwo[[#This Row],[Date]],GBPUSD[Date],GBPUSD[Change %])</f>
        <v>-2.5232613152500328E-3</v>
      </c>
    </row>
    <row r="248" spans="1:5" x14ac:dyDescent="0.35">
      <c r="A248" s="1" vm="85">
        <v>45617</v>
      </c>
      <c r="B248" s="5">
        <f ca="1">_xlfn.XLOOKUP(twoFiveTwo[[#This Row],[Date]],USDJPY[Date],USDJPY[Change %])</f>
        <v>-5.91906324390411E-3</v>
      </c>
      <c r="C248" s="5">
        <f ca="1">_xlfn.XLOOKUP(twoFiveTwo[[#This Row],[Date]],EURUSD[Date],EURUSD[Change %])</f>
        <v>-6.6394764298587849E-3</v>
      </c>
      <c r="D248" s="5">
        <f ca="1">_xlfn.XLOOKUP(twoFiveTwo[[#This Row],[Date]],SGDJPY[Date],SGDJPY[Change %])</f>
        <v>-8.4287677508016572E-3</v>
      </c>
      <c r="E248" s="5">
        <f ca="1">_xlfn.XLOOKUP(twoFiveTwo[[#This Row],[Date]],GBPUSD[Date],GBPUSD[Change %])</f>
        <v>-5.0592885375493769E-3</v>
      </c>
    </row>
    <row r="249" spans="1:5" x14ac:dyDescent="0.35">
      <c r="A249" s="1" vm="86">
        <v>45618</v>
      </c>
      <c r="B249" s="5">
        <f ca="1">_xlfn.XLOOKUP(twoFiveTwo[[#This Row],[Date]],USDJPY[Date],USDJPY[Change %])</f>
        <v>1.488576791146322E-3</v>
      </c>
      <c r="C249" s="5">
        <f ca="1">_xlfn.XLOOKUP(twoFiveTwo[[#This Row],[Date]],EURUSD[Date],EURUSD[Change %])</f>
        <v>-5.3470829752695773E-3</v>
      </c>
      <c r="D249" s="5">
        <f ca="1">_xlfn.XLOOKUP(twoFiveTwo[[#This Row],[Date]],SGDJPY[Date],SGDJPY[Change %])</f>
        <v>1.4887930839110964E-3</v>
      </c>
      <c r="E249" s="5">
        <f ca="1">_xlfn.XLOOKUP(twoFiveTwo[[#This Row],[Date]],GBPUSD[Date],GBPUSD[Change %])</f>
        <v>-4.3699348482439523E-3</v>
      </c>
    </row>
    <row r="250" spans="1:5" x14ac:dyDescent="0.35">
      <c r="A250" s="1" vm="87">
        <v>45621</v>
      </c>
      <c r="B250" s="5">
        <f ca="1">_xlfn.XLOOKUP(twoFiveTwo[[#This Row],[Date]],USDJPY[Date],USDJPY[Change %])</f>
        <v>-3.4251001680237888E-3</v>
      </c>
      <c r="C250" s="5">
        <f ca="1">_xlfn.XLOOKUP(twoFiveTwo[[#This Row],[Date]],EURUSD[Date],EURUSD[Change %])</f>
        <v>7.3917634635692038E-3</v>
      </c>
      <c r="D250" s="5">
        <f ca="1">_xlfn.XLOOKUP(twoFiveTwo[[#This Row],[Date]],SGDJPY[Date],SGDJPY[Change %])</f>
        <v>-2.9070121659329783E-3</v>
      </c>
      <c r="E250" s="5">
        <f ca="1">_xlfn.XLOOKUP(twoFiveTwo[[#This Row],[Date]],GBPUSD[Date],GBPUSD[Change %])</f>
        <v>2.872875269331917E-3</v>
      </c>
    </row>
    <row r="251" spans="1:5" x14ac:dyDescent="0.35">
      <c r="A251" s="1" vm="88">
        <v>45622</v>
      </c>
      <c r="B251" s="5">
        <f ca="1">_xlfn.XLOOKUP(twoFiveTwo[[#This Row],[Date]],USDJPY[Date],USDJPY[Change %])</f>
        <v>-7.1979767849037904E-3</v>
      </c>
      <c r="C251" s="5">
        <f ca="1">_xlfn.XLOOKUP(twoFiveTwo[[#This Row],[Date]],EURUSD[Date],EURUSD[Change %])</f>
        <v>-7.6234038498202198E-4</v>
      </c>
      <c r="D251" s="5">
        <f ca="1">_xlfn.XLOOKUP(twoFiveTwo[[#This Row],[Date]],SGDJPY[Date],SGDJPY[Change %])</f>
        <v>-7.7138213312429446E-3</v>
      </c>
      <c r="E251" s="5">
        <f ca="1">_xlfn.XLOOKUP(twoFiveTwo[[#This Row],[Date]],GBPUSD[Date],GBPUSD[Change %])</f>
        <v>7.9573486114417917E-5</v>
      </c>
    </row>
    <row r="252" spans="1:5" x14ac:dyDescent="0.35">
      <c r="A252" s="1" vm="89">
        <v>45623</v>
      </c>
      <c r="B252" s="5">
        <f ca="1">_xlfn.XLOOKUP(twoFiveTwo[[#This Row],[Date]],USDJPY[Date],USDJPY[Change %])</f>
        <v>-1.3063357282821686E-2</v>
      </c>
      <c r="C252" s="5">
        <f ca="1">_xlfn.XLOOKUP(twoFiveTwo[[#This Row],[Date]],EURUSD[Date],EURUSD[Change %])</f>
        <v>7.4384894144573993E-3</v>
      </c>
      <c r="D252" s="5">
        <f ca="1">_xlfn.XLOOKUP(twoFiveTwo[[#This Row],[Date]],SGDJPY[Date],SGDJPY[Change %])</f>
        <v>-8.4256344076941402E-3</v>
      </c>
      <c r="E252" s="5">
        <f ca="1">_xlfn.XLOOKUP(twoFiveTwo[[#This Row],[Date]],GBPUSD[Date],GBPUSD[Change %])</f>
        <v>8.7523870146404524E-3</v>
      </c>
    </row>
    <row r="253" spans="1:5" x14ac:dyDescent="0.35">
      <c r="A253" s="1" vm="90">
        <v>45624</v>
      </c>
      <c r="B253" s="5">
        <f ca="1">_xlfn.XLOOKUP(twoFiveTwo[[#This Row],[Date]],USDJPY[Date],USDJPY[Change %])</f>
        <v>2.9119788219721891E-3</v>
      </c>
      <c r="C253" s="5">
        <f ca="1">_xlfn.XLOOKUP(twoFiveTwo[[#This Row],[Date]],EURUSD[Date],EURUSD[Change %])</f>
        <v>-1.041272245361701E-3</v>
      </c>
      <c r="D253" s="5">
        <f ca="1">_xlfn.XLOOKUP(twoFiveTwo[[#This Row],[Date]],SGDJPY[Date],SGDJPY[Change %])</f>
        <v>1.1195972998364714E-3</v>
      </c>
      <c r="E253" s="5">
        <f ca="1">_xlfn.XLOOKUP(twoFiveTwo[[#This Row],[Date]],GBPUSD[Date],GBPUSD[Change %])</f>
        <v>7.0989115002358485E-4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AA218-721C-4790-A083-64117059D97C}">
  <sheetPr codeName="Sheet56"/>
  <dimension ref="A1:I256"/>
  <sheetViews>
    <sheetView workbookViewId="0">
      <selection activeCell="B17" sqref="B17"/>
    </sheetView>
  </sheetViews>
  <sheetFormatPr defaultRowHeight="14.5" x14ac:dyDescent="0.35"/>
  <cols>
    <col min="2" max="2" width="10.453125" bestFit="1" customWidth="1"/>
    <col min="7" max="7" width="10.26953125" customWidth="1"/>
  </cols>
  <sheetData>
    <row r="1" spans="1:9" x14ac:dyDescent="0.35">
      <c r="A1" t="s">
        <v>0</v>
      </c>
      <c r="B1" t="s">
        <v>4</v>
      </c>
      <c r="D1" t="str" cm="1">
        <f t="array" aca="1" ref="D1:E255" ca="1">_xlfn.STOCKHISTORY(B1,B2,B3)</f>
        <v>Date</v>
      </c>
      <c r="E1" t="str">
        <f ca="1"/>
        <v>Close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f ca="1">WORKDAY(B3,-255)</f>
        <v>45357</v>
      </c>
      <c r="D2" vm="151">
        <f ca="1"/>
        <v>45357</v>
      </c>
      <c r="E2" vm="253">
        <f ca="1"/>
        <v>149.37</v>
      </c>
      <c r="G2" s="1" vm="254">
        <v>45268</v>
      </c>
      <c r="H2" s="3" vm="255">
        <v>144.93</v>
      </c>
      <c r="I2" s="5" t="e">
        <f ca="1">(USDJPY[[#This Row],[Price]]-OFFSET(USDJPY[[#This Row],[Price]],-1,0))/OFFSET(USDJPY[[#This Row],[Price]],-1,0)</f>
        <v>#VALUE!</v>
      </c>
    </row>
    <row r="3" spans="1:9" x14ac:dyDescent="0.35">
      <c r="A3" t="s">
        <v>2</v>
      </c>
      <c r="B3" s="2">
        <f ca="1">TODAY()</f>
        <v>45714</v>
      </c>
      <c r="D3" vm="152">
        <f ca="1"/>
        <v>45358</v>
      </c>
      <c r="E3" vm="256">
        <f ca="1"/>
        <v>148.03</v>
      </c>
      <c r="G3" s="1" vm="257">
        <v>45271</v>
      </c>
      <c r="H3" s="3" vm="258">
        <v>146.16</v>
      </c>
      <c r="I3" s="5">
        <f ca="1">(USDJPY[[#This Row],[Price]]-OFFSET(USDJPY[[#This Row],[Price]],-1,0))/OFFSET(USDJPY[[#This Row],[Price]],-1,0)</f>
        <v>8.4868557234526309E-3</v>
      </c>
    </row>
    <row r="4" spans="1:9" x14ac:dyDescent="0.35">
      <c r="D4" vm="153">
        <f ca="1"/>
        <v>45359</v>
      </c>
      <c r="E4" vm="259">
        <f ca="1"/>
        <v>147.07</v>
      </c>
      <c r="G4" s="1" vm="260">
        <v>45272</v>
      </c>
      <c r="H4" s="3" vm="261">
        <v>145.43</v>
      </c>
      <c r="I4" s="5">
        <f ca="1">(USDJPY[[#This Row],[Price]]-OFFSET(USDJPY[[#This Row],[Price]],-1,0))/OFFSET(USDJPY[[#This Row],[Price]],-1,0)</f>
        <v>-4.9945265462506142E-3</v>
      </c>
    </row>
    <row r="5" spans="1:9" x14ac:dyDescent="0.35">
      <c r="A5" t="s">
        <v>9</v>
      </c>
      <c r="D5" vm="154">
        <f ca="1"/>
        <v>45362</v>
      </c>
      <c r="E5" vm="262">
        <f ca="1"/>
        <v>146.94</v>
      </c>
      <c r="G5" s="1" vm="91">
        <v>45273</v>
      </c>
      <c r="H5" s="3" vm="263">
        <v>142.88</v>
      </c>
      <c r="I5" s="5">
        <f ca="1">(USDJPY[[#This Row],[Price]]-OFFSET(USDJPY[[#This Row],[Price]],-1,0))/OFFSET(USDJPY[[#This Row],[Price]],-1,0)</f>
        <v>-1.7534208897751574E-2</v>
      </c>
    </row>
    <row r="6" spans="1:9" x14ac:dyDescent="0.35">
      <c r="A6" t="s">
        <v>10</v>
      </c>
      <c r="B6" s="6">
        <f ca="1">AVERAGE(OFFSET(USDJPY[[#Headers],[Change %]],COUNTA(USDJPY[Change %])-252+1,0,252,1))</f>
        <v>1.8412724082013173E-4</v>
      </c>
      <c r="D6" vm="155">
        <f ca="1"/>
        <v>45363</v>
      </c>
      <c r="E6" vm="264">
        <f ca="1"/>
        <v>147.68</v>
      </c>
      <c r="G6" s="1" vm="92">
        <v>45274</v>
      </c>
      <c r="H6" s="3" vm="265">
        <v>141.87</v>
      </c>
      <c r="I6" s="5">
        <f ca="1">(USDJPY[[#This Row],[Price]]-OFFSET(USDJPY[[#This Row],[Price]],-1,0))/OFFSET(USDJPY[[#This Row],[Price]],-1,0)</f>
        <v>-7.0688689809629826E-3</v>
      </c>
    </row>
    <row r="7" spans="1:9" x14ac:dyDescent="0.35">
      <c r="A7" t="s">
        <v>11</v>
      </c>
      <c r="B7" s="6">
        <f ca="1">_xlfn.STDEV.S(OFFSET(USDJPY[[#Headers],[Change %]],COUNTA(USDJPY[Change %])-252+1,0,252,1))</f>
        <v>6.4586236505103081E-3</v>
      </c>
      <c r="D7" vm="156">
        <f ca="1"/>
        <v>45364</v>
      </c>
      <c r="E7" vm="266">
        <f ca="1"/>
        <v>147.74</v>
      </c>
      <c r="G7" s="1" vm="93">
        <v>45275</v>
      </c>
      <c r="H7" s="3" vm="267">
        <v>142.15</v>
      </c>
      <c r="I7" s="5">
        <f ca="1">(USDJPY[[#This Row],[Price]]-OFFSET(USDJPY[[#This Row],[Price]],-1,0))/OFFSET(USDJPY[[#This Row],[Price]],-1,0)</f>
        <v>1.9736378374568347E-3</v>
      </c>
    </row>
    <row r="8" spans="1:9" x14ac:dyDescent="0.35">
      <c r="A8" t="s">
        <v>12</v>
      </c>
      <c r="B8" s="6">
        <f ca="1">_xlfn.VAR.S(OFFSET(USDJPY[[#Headers],[Change %]],COUNTA(USDJPY[Change %])-252+1,0,252,1))</f>
        <v>4.1713819458931103E-5</v>
      </c>
      <c r="D8" vm="157">
        <f ca="1"/>
        <v>45365</v>
      </c>
      <c r="E8" vm="268">
        <f ca="1"/>
        <v>148.32</v>
      </c>
      <c r="G8" s="1" vm="94">
        <v>45278</v>
      </c>
      <c r="H8" s="3" vm="269">
        <v>142.74</v>
      </c>
      <c r="I8" s="5">
        <f ca="1">(USDJPY[[#This Row],[Price]]-OFFSET(USDJPY[[#This Row],[Price]],-1,0))/OFFSET(USDJPY[[#This Row],[Price]],-1,0)</f>
        <v>4.1505451987337554E-3</v>
      </c>
    </row>
    <row r="9" spans="1:9" x14ac:dyDescent="0.35">
      <c r="D9" vm="158">
        <f ca="1"/>
        <v>45366</v>
      </c>
      <c r="E9" vm="270">
        <f ca="1"/>
        <v>149.02000000000001</v>
      </c>
      <c r="G9" s="1" vm="95">
        <v>45279</v>
      </c>
      <c r="H9" s="3" vm="271">
        <v>143.82</v>
      </c>
      <c r="I9" s="5">
        <f ca="1">(USDJPY[[#This Row],[Price]]-OFFSET(USDJPY[[#This Row],[Price]],-1,0))/OFFSET(USDJPY[[#This Row],[Price]],-1,0)</f>
        <v>7.566204287515651E-3</v>
      </c>
    </row>
    <row r="10" spans="1:9" x14ac:dyDescent="0.35">
      <c r="A10" t="s">
        <v>13</v>
      </c>
      <c r="D10" vm="159">
        <f ca="1"/>
        <v>45369</v>
      </c>
      <c r="E10" vm="272">
        <f ca="1"/>
        <v>149.13999999999999</v>
      </c>
      <c r="G10" s="1" vm="96">
        <v>45280</v>
      </c>
      <c r="H10" s="3" vm="273">
        <v>143.56</v>
      </c>
      <c r="I10" s="5">
        <f ca="1">(USDJPY[[#This Row],[Price]]-OFFSET(USDJPY[[#This Row],[Price]],-1,0))/OFFSET(USDJPY[[#This Row],[Price]],-1,0)</f>
        <v>-1.8078153247113816E-3</v>
      </c>
    </row>
    <row r="11" spans="1:9" x14ac:dyDescent="0.35">
      <c r="A11" t="s">
        <v>10</v>
      </c>
      <c r="B11" s="6">
        <f ca="1">AVERAGE(OFFSET(USDJPY[[#Headers],[Change %]],COUNTA(USDJPY[Change %])-90+1,0,90,1))</f>
        <v>-1.4196796290798068E-4</v>
      </c>
      <c r="D11" vm="160">
        <f ca="1"/>
        <v>45370</v>
      </c>
      <c r="E11" vm="274">
        <f ca="1"/>
        <v>150.85</v>
      </c>
      <c r="G11" s="1" vm="97">
        <v>45281</v>
      </c>
      <c r="H11" s="3" vm="275">
        <v>142.1</v>
      </c>
      <c r="I11" s="5">
        <f ca="1">(USDJPY[[#This Row],[Price]]-OFFSET(USDJPY[[#This Row],[Price]],-1,0))/OFFSET(USDJPY[[#This Row],[Price]],-1,0)</f>
        <v>-1.0169963778211256E-2</v>
      </c>
    </row>
    <row r="12" spans="1:9" x14ac:dyDescent="0.35">
      <c r="A12" t="s">
        <v>11</v>
      </c>
      <c r="B12" s="6">
        <f ca="1">_xlfn.STDEV.S(OFFSET(USDJPY[[#Headers],[Change %]],COUNTA(USDJPY[Change %])-90+1,0,90,1))</f>
        <v>8.0291744399637825E-3</v>
      </c>
      <c r="D12" vm="161">
        <f ca="1"/>
        <v>45371</v>
      </c>
      <c r="E12" vm="276">
        <f ca="1"/>
        <v>151.25</v>
      </c>
      <c r="G12" s="1" vm="98">
        <v>45282</v>
      </c>
      <c r="H12" s="3" vm="277">
        <v>142.41</v>
      </c>
      <c r="I12" s="5">
        <f ca="1">(USDJPY[[#This Row],[Price]]-OFFSET(USDJPY[[#This Row],[Price]],-1,0))/OFFSET(USDJPY[[#This Row],[Price]],-1,0)</f>
        <v>2.1815622800844636E-3</v>
      </c>
    </row>
    <row r="13" spans="1:9" x14ac:dyDescent="0.35">
      <c r="A13" t="s">
        <v>12</v>
      </c>
      <c r="B13" s="6">
        <f ca="1">_xlfn.VAR.S(OFFSET(USDJPY[[#Headers],[Change %]],COUNTA(USDJPY[Change %])-90+1,0,90,1))</f>
        <v>6.4467642187367714E-5</v>
      </c>
      <c r="D13" vm="162">
        <f ca="1"/>
        <v>45372</v>
      </c>
      <c r="E13" vm="278">
        <f ca="1"/>
        <v>151.61000000000001</v>
      </c>
      <c r="G13" s="1" vm="99">
        <v>45285</v>
      </c>
      <c r="H13" s="3" vm="279">
        <v>142.34</v>
      </c>
      <c r="I13" s="5">
        <f ca="1">(USDJPY[[#This Row],[Price]]-OFFSET(USDJPY[[#This Row],[Price]],-1,0))/OFFSET(USDJPY[[#This Row],[Price]],-1,0)</f>
        <v>-4.9153851555363518E-4</v>
      </c>
    </row>
    <row r="14" spans="1:9" x14ac:dyDescent="0.35">
      <c r="D14" vm="163">
        <f ca="1"/>
        <v>45373</v>
      </c>
      <c r="E14" vm="280">
        <f ca="1"/>
        <v>151.41999999999999</v>
      </c>
      <c r="G14" s="1" vm="100">
        <v>45286</v>
      </c>
      <c r="H14" s="3" vm="281">
        <v>142.38</v>
      </c>
      <c r="I14" s="5">
        <f ca="1">(USDJPY[[#This Row],[Price]]-OFFSET(USDJPY[[#This Row],[Price]],-1,0))/OFFSET(USDJPY[[#This Row],[Price]],-1,0)</f>
        <v>2.8101728256282172E-4</v>
      </c>
    </row>
    <row r="15" spans="1:9" x14ac:dyDescent="0.35">
      <c r="D15" vm="164">
        <f ca="1"/>
        <v>45376</v>
      </c>
      <c r="E15" vm="282">
        <f ca="1"/>
        <v>151.41</v>
      </c>
      <c r="G15" s="1" vm="101">
        <v>45287</v>
      </c>
      <c r="H15" s="3" vm="283">
        <v>141.83000000000001</v>
      </c>
      <c r="I15" s="5">
        <f ca="1">(USDJPY[[#This Row],[Price]]-OFFSET(USDJPY[[#This Row],[Price]],-1,0))/OFFSET(USDJPY[[#This Row],[Price]],-1,0)</f>
        <v>-3.8629020929904687E-3</v>
      </c>
    </row>
    <row r="16" spans="1:9" x14ac:dyDescent="0.35">
      <c r="D16" vm="165">
        <f ca="1"/>
        <v>45377</v>
      </c>
      <c r="E16" vm="284">
        <f ca="1"/>
        <v>151.55000000000001</v>
      </c>
      <c r="G16" s="1" vm="102">
        <v>45288</v>
      </c>
      <c r="H16" s="3" vm="285">
        <v>141.38999999999999</v>
      </c>
      <c r="I16" s="5">
        <f ca="1">(USDJPY[[#This Row],[Price]]-OFFSET(USDJPY[[#This Row],[Price]],-1,0))/OFFSET(USDJPY[[#This Row],[Price]],-1,0)</f>
        <v>-3.1023055770995284E-3</v>
      </c>
    </row>
    <row r="17" spans="4:9" x14ac:dyDescent="0.35">
      <c r="D17" vm="166">
        <f ca="1"/>
        <v>45378</v>
      </c>
      <c r="E17" vm="286">
        <f ca="1"/>
        <v>151.32</v>
      </c>
      <c r="G17" s="1" vm="103">
        <v>45289</v>
      </c>
      <c r="H17" s="3" vm="287">
        <v>141.06</v>
      </c>
      <c r="I17" s="5">
        <f ca="1">(USDJPY[[#This Row],[Price]]-OFFSET(USDJPY[[#This Row],[Price]],-1,0))/OFFSET(USDJPY[[#This Row],[Price]],-1,0)</f>
        <v>-2.3339698705706494E-3</v>
      </c>
    </row>
    <row r="18" spans="4:9" x14ac:dyDescent="0.35">
      <c r="D18" vm="167">
        <f ca="1"/>
        <v>45379</v>
      </c>
      <c r="E18" vm="288">
        <f ca="1"/>
        <v>151.37</v>
      </c>
      <c r="G18" s="1" vm="104">
        <v>45292</v>
      </c>
      <c r="H18" s="3" vm="289">
        <v>140.87</v>
      </c>
      <c r="I18" s="5">
        <f ca="1">(USDJPY[[#This Row],[Price]]-OFFSET(USDJPY[[#This Row],[Price]],-1,0))/OFFSET(USDJPY[[#This Row],[Price]],-1,0)</f>
        <v>-1.34694456259746E-3</v>
      </c>
    </row>
    <row r="19" spans="4:9" x14ac:dyDescent="0.35">
      <c r="D19" vm="168">
        <f ca="1"/>
        <v>45380</v>
      </c>
      <c r="E19" vm="290">
        <f ca="1"/>
        <v>151.31</v>
      </c>
      <c r="G19" s="1" vm="105">
        <v>45293</v>
      </c>
      <c r="H19" s="3" vm="291">
        <v>141.97999999999999</v>
      </c>
      <c r="I19" s="5">
        <f ca="1">(USDJPY[[#This Row],[Price]]-OFFSET(USDJPY[[#This Row],[Price]],-1,0))/OFFSET(USDJPY[[#This Row],[Price]],-1,0)</f>
        <v>7.8796053098600504E-3</v>
      </c>
    </row>
    <row r="20" spans="4:9" x14ac:dyDescent="0.35">
      <c r="D20" vm="169">
        <f ca="1"/>
        <v>45383</v>
      </c>
      <c r="E20" vm="292">
        <f ca="1"/>
        <v>151.63</v>
      </c>
      <c r="G20" s="1" vm="106">
        <v>45294</v>
      </c>
      <c r="H20" s="3" vm="293">
        <v>143.29</v>
      </c>
      <c r="I20" s="5">
        <f ca="1">(USDJPY[[#This Row],[Price]]-OFFSET(USDJPY[[#This Row],[Price]],-1,0))/OFFSET(USDJPY[[#This Row],[Price]],-1,0)</f>
        <v>9.226651641076224E-3</v>
      </c>
    </row>
    <row r="21" spans="4:9" x14ac:dyDescent="0.35">
      <c r="D21" vm="170">
        <f ca="1"/>
        <v>45384</v>
      </c>
      <c r="E21" vm="284">
        <f ca="1"/>
        <v>151.55000000000001</v>
      </c>
      <c r="G21" s="1" vm="107">
        <v>45295</v>
      </c>
      <c r="H21" s="3" vm="294">
        <v>144.62</v>
      </c>
      <c r="I21" s="5">
        <f ca="1">(USDJPY[[#This Row],[Price]]-OFFSET(USDJPY[[#This Row],[Price]],-1,0))/OFFSET(USDJPY[[#This Row],[Price]],-1,0)</f>
        <v>9.2818759159746852E-3</v>
      </c>
    </row>
    <row r="22" spans="4:9" x14ac:dyDescent="0.35">
      <c r="D22" vm="171">
        <f ca="1"/>
        <v>45385</v>
      </c>
      <c r="E22" vm="295">
        <f ca="1"/>
        <v>151.68</v>
      </c>
      <c r="G22" s="1" vm="108">
        <v>45296</v>
      </c>
      <c r="H22" s="3" vm="296">
        <v>144.65</v>
      </c>
      <c r="I22" s="5">
        <f ca="1">(USDJPY[[#This Row],[Price]]-OFFSET(USDJPY[[#This Row],[Price]],-1,0))/OFFSET(USDJPY[[#This Row],[Price]],-1,0)</f>
        <v>2.0744018807911173E-4</v>
      </c>
    </row>
    <row r="23" spans="4:9" x14ac:dyDescent="0.35">
      <c r="D23" vm="172">
        <f ca="1"/>
        <v>45386</v>
      </c>
      <c r="E23" vm="297">
        <f ca="1"/>
        <v>151.33000000000001</v>
      </c>
      <c r="G23" s="1" vm="109">
        <v>45299</v>
      </c>
      <c r="H23" s="3" vm="298">
        <v>144.22</v>
      </c>
      <c r="I23" s="5">
        <f ca="1">(USDJPY[[#This Row],[Price]]-OFFSET(USDJPY[[#This Row],[Price]],-1,0))/OFFSET(USDJPY[[#This Row],[Price]],-1,0)</f>
        <v>-2.9726927065330576E-3</v>
      </c>
    </row>
    <row r="24" spans="4:9" x14ac:dyDescent="0.35">
      <c r="D24" vm="173">
        <f ca="1"/>
        <v>45387</v>
      </c>
      <c r="E24" vm="278">
        <f ca="1"/>
        <v>151.61000000000001</v>
      </c>
      <c r="G24" s="1" vm="110">
        <v>45300</v>
      </c>
      <c r="H24" s="3" vm="299">
        <v>144.47</v>
      </c>
      <c r="I24" s="5">
        <f ca="1">(USDJPY[[#This Row],[Price]]-OFFSET(USDJPY[[#This Row],[Price]],-1,0))/OFFSET(USDJPY[[#This Row],[Price]],-1,0)</f>
        <v>1.7334627652198032E-3</v>
      </c>
    </row>
    <row r="25" spans="4:9" x14ac:dyDescent="0.35">
      <c r="D25" vm="174">
        <f ca="1"/>
        <v>45390</v>
      </c>
      <c r="E25" vm="300">
        <f ca="1"/>
        <v>151.79</v>
      </c>
      <c r="G25" s="1" vm="111">
        <v>45301</v>
      </c>
      <c r="H25" s="3" vm="301">
        <v>145.72999999999999</v>
      </c>
      <c r="I25" s="5">
        <f ca="1">(USDJPY[[#This Row],[Price]]-OFFSET(USDJPY[[#This Row],[Price]],-1,0))/OFFSET(USDJPY[[#This Row],[Price]],-1,0)</f>
        <v>8.7215338824668861E-3</v>
      </c>
    </row>
    <row r="26" spans="4:9" x14ac:dyDescent="0.35">
      <c r="D26" vm="175">
        <f ca="1"/>
        <v>45391</v>
      </c>
      <c r="E26" vm="302">
        <f ca="1"/>
        <v>151.77000000000001</v>
      </c>
      <c r="G26" s="1" vm="112">
        <v>45302</v>
      </c>
      <c r="H26" s="3" vm="303">
        <v>145.28</v>
      </c>
      <c r="I26" s="5">
        <f ca="1">(USDJPY[[#This Row],[Price]]-OFFSET(USDJPY[[#This Row],[Price]],-1,0))/OFFSET(USDJPY[[#This Row],[Price]],-1,0)</f>
        <v>-3.0879022850476131E-3</v>
      </c>
    </row>
    <row r="27" spans="4:9" x14ac:dyDescent="0.35">
      <c r="D27" vm="176">
        <f ca="1"/>
        <v>45392</v>
      </c>
      <c r="E27" vm="304">
        <f ca="1"/>
        <v>153.16999999999999</v>
      </c>
      <c r="G27" s="1" vm="113">
        <v>45303</v>
      </c>
      <c r="H27" s="3" vm="305">
        <v>144.9</v>
      </c>
      <c r="I27" s="5">
        <f ca="1">(USDJPY[[#This Row],[Price]]-OFFSET(USDJPY[[#This Row],[Price]],-1,0))/OFFSET(USDJPY[[#This Row],[Price]],-1,0)</f>
        <v>-2.6156387665197925E-3</v>
      </c>
    </row>
    <row r="28" spans="4:9" x14ac:dyDescent="0.35">
      <c r="D28" vm="177">
        <f ca="1"/>
        <v>45393</v>
      </c>
      <c r="E28" vm="306">
        <f ca="1"/>
        <v>153.27000000000001</v>
      </c>
      <c r="G28" s="1" vm="114">
        <v>45306</v>
      </c>
      <c r="H28" s="3" vm="301">
        <v>145.72999999999999</v>
      </c>
      <c r="I28" s="5">
        <f ca="1">(USDJPY[[#This Row],[Price]]-OFFSET(USDJPY[[#This Row],[Price]],-1,0))/OFFSET(USDJPY[[#This Row],[Price]],-1,0)</f>
        <v>5.7280883367838787E-3</v>
      </c>
    </row>
    <row r="29" spans="4:9" x14ac:dyDescent="0.35">
      <c r="D29" vm="178">
        <f ca="1"/>
        <v>45394</v>
      </c>
      <c r="E29" vm="307">
        <f ca="1"/>
        <v>153.28</v>
      </c>
      <c r="G29" s="1" vm="115">
        <v>45307</v>
      </c>
      <c r="H29" s="3" vm="308">
        <v>147.18</v>
      </c>
      <c r="I29" s="5">
        <f ca="1">(USDJPY[[#This Row],[Price]]-OFFSET(USDJPY[[#This Row],[Price]],-1,0))/OFFSET(USDJPY[[#This Row],[Price]],-1,0)</f>
        <v>9.9499073629315659E-3</v>
      </c>
    </row>
    <row r="30" spans="4:9" x14ac:dyDescent="0.35">
      <c r="D30" vm="179">
        <f ca="1"/>
        <v>45397</v>
      </c>
      <c r="E30" vm="309">
        <f ca="1"/>
        <v>154.27000000000001</v>
      </c>
      <c r="G30" s="1" vm="116">
        <v>45308</v>
      </c>
      <c r="H30" s="3" vm="310">
        <v>148.15</v>
      </c>
      <c r="I30" s="5">
        <f ca="1">(USDJPY[[#This Row],[Price]]-OFFSET(USDJPY[[#This Row],[Price]],-1,0))/OFFSET(USDJPY[[#This Row],[Price]],-1,0)</f>
        <v>6.5905693708384208E-3</v>
      </c>
    </row>
    <row r="31" spans="4:9" x14ac:dyDescent="0.35">
      <c r="D31" vm="180">
        <f ca="1"/>
        <v>45398</v>
      </c>
      <c r="E31" vm="311">
        <f ca="1"/>
        <v>154.71</v>
      </c>
      <c r="G31" s="1" vm="117">
        <v>45309</v>
      </c>
      <c r="H31" s="3" vm="310">
        <v>148.15</v>
      </c>
      <c r="I31" s="5">
        <f ca="1">(USDJPY[[#This Row],[Price]]-OFFSET(USDJPY[[#This Row],[Price]],-1,0))/OFFSET(USDJPY[[#This Row],[Price]],-1,0)</f>
        <v>0</v>
      </c>
    </row>
    <row r="32" spans="4:9" x14ac:dyDescent="0.35">
      <c r="D32" vm="181">
        <f ca="1"/>
        <v>45399</v>
      </c>
      <c r="E32" vm="312">
        <f ca="1"/>
        <v>154.38</v>
      </c>
      <c r="G32" s="1" vm="118">
        <v>45310</v>
      </c>
      <c r="H32" s="3" vm="313">
        <v>148.13999999999999</v>
      </c>
      <c r="I32" s="5">
        <f ca="1">(USDJPY[[#This Row],[Price]]-OFFSET(USDJPY[[#This Row],[Price]],-1,0))/OFFSET(USDJPY[[#This Row],[Price]],-1,0)</f>
        <v>-6.7499156260677194E-5</v>
      </c>
    </row>
    <row r="33" spans="4:9" x14ac:dyDescent="0.35">
      <c r="D33" vm="182">
        <f ca="1"/>
        <v>45400</v>
      </c>
      <c r="E33" vm="314">
        <f ca="1"/>
        <v>154.63</v>
      </c>
      <c r="G33" s="1" vm="119">
        <v>45313</v>
      </c>
      <c r="H33" s="3" vm="315">
        <v>148.09</v>
      </c>
      <c r="I33" s="5">
        <f ca="1">(USDJPY[[#This Row],[Price]]-OFFSET(USDJPY[[#This Row],[Price]],-1,0))/OFFSET(USDJPY[[#This Row],[Price]],-1,0)</f>
        <v>-3.3751856352087859E-4</v>
      </c>
    </row>
    <row r="34" spans="4:9" x14ac:dyDescent="0.35">
      <c r="D34" vm="183">
        <f ca="1"/>
        <v>45401</v>
      </c>
      <c r="E34" vm="314">
        <f ca="1"/>
        <v>154.63</v>
      </c>
      <c r="G34" s="1" vm="120">
        <v>45314</v>
      </c>
      <c r="H34" s="3" vm="316">
        <v>148.36000000000001</v>
      </c>
      <c r="I34" s="5">
        <f ca="1">(USDJPY[[#This Row],[Price]]-OFFSET(USDJPY[[#This Row],[Price]],-1,0))/OFFSET(USDJPY[[#This Row],[Price]],-1,0)</f>
        <v>1.8232156121278291E-3</v>
      </c>
    </row>
    <row r="35" spans="4:9" x14ac:dyDescent="0.35">
      <c r="D35" vm="184">
        <f ca="1"/>
        <v>45404</v>
      </c>
      <c r="E35" vm="317">
        <f ca="1"/>
        <v>154.84</v>
      </c>
      <c r="G35" s="1" vm="121">
        <v>45315</v>
      </c>
      <c r="H35" s="3" vm="318">
        <v>147.5</v>
      </c>
      <c r="I35" s="5">
        <f ca="1">(USDJPY[[#This Row],[Price]]-OFFSET(USDJPY[[#This Row],[Price]],-1,0))/OFFSET(USDJPY[[#This Row],[Price]],-1,0)</f>
        <v>-5.796710703693809E-3</v>
      </c>
    </row>
    <row r="36" spans="4:9" x14ac:dyDescent="0.35">
      <c r="D36" vm="185">
        <f ca="1"/>
        <v>45405</v>
      </c>
      <c r="E36" vm="319">
        <f ca="1"/>
        <v>154.82</v>
      </c>
      <c r="G36" s="1" vm="122">
        <v>45316</v>
      </c>
      <c r="H36" s="3" vm="320">
        <v>147.65</v>
      </c>
      <c r="I36" s="5">
        <f ca="1">(USDJPY[[#This Row],[Price]]-OFFSET(USDJPY[[#This Row],[Price]],-1,0))/OFFSET(USDJPY[[#This Row],[Price]],-1,0)</f>
        <v>1.0169491525424115E-3</v>
      </c>
    </row>
    <row r="37" spans="4:9" x14ac:dyDescent="0.35">
      <c r="D37" vm="186">
        <f ca="1"/>
        <v>45406</v>
      </c>
      <c r="E37" vm="321">
        <f ca="1"/>
        <v>155.34</v>
      </c>
      <c r="G37" s="1" vm="123">
        <v>45317</v>
      </c>
      <c r="H37" s="3" vm="322">
        <v>148.16</v>
      </c>
      <c r="I37" s="5">
        <f ca="1">(USDJPY[[#This Row],[Price]]-OFFSET(USDJPY[[#This Row],[Price]],-1,0))/OFFSET(USDJPY[[#This Row],[Price]],-1,0)</f>
        <v>3.4541144598712555E-3</v>
      </c>
    </row>
    <row r="38" spans="4:9" x14ac:dyDescent="0.35">
      <c r="D38" vm="187">
        <f ca="1"/>
        <v>45407</v>
      </c>
      <c r="E38" vm="323">
        <f ca="1"/>
        <v>155.65</v>
      </c>
      <c r="G38" s="1" vm="124">
        <v>45320</v>
      </c>
      <c r="H38" s="3" vm="324">
        <v>147.49</v>
      </c>
      <c r="I38" s="5">
        <f ca="1">(USDJPY[[#This Row],[Price]]-OFFSET(USDJPY[[#This Row],[Price]],-1,0))/OFFSET(USDJPY[[#This Row],[Price]],-1,0)</f>
        <v>-4.5221382289416003E-3</v>
      </c>
    </row>
    <row r="39" spans="4:9" x14ac:dyDescent="0.35">
      <c r="D39" vm="188">
        <f ca="1"/>
        <v>45408</v>
      </c>
      <c r="E39" vm="325">
        <f ca="1"/>
        <v>158.33000000000001</v>
      </c>
      <c r="G39" s="1" vm="125">
        <v>45321</v>
      </c>
      <c r="H39" s="3" vm="326">
        <v>147.6</v>
      </c>
      <c r="I39" s="5">
        <f ca="1">(USDJPY[[#This Row],[Price]]-OFFSET(USDJPY[[#This Row],[Price]],-1,0))/OFFSET(USDJPY[[#This Row],[Price]],-1,0)</f>
        <v>7.4581327547620327E-4</v>
      </c>
    </row>
    <row r="40" spans="4:9" x14ac:dyDescent="0.35">
      <c r="D40" vm="189">
        <f ca="1"/>
        <v>45411</v>
      </c>
      <c r="E40" vm="327">
        <f ca="1"/>
        <v>156.33000000000001</v>
      </c>
      <c r="G40" s="1" vm="126">
        <v>45322</v>
      </c>
      <c r="H40" s="3" vm="328">
        <v>146.88</v>
      </c>
      <c r="I40" s="5">
        <f ca="1">(USDJPY[[#This Row],[Price]]-OFFSET(USDJPY[[#This Row],[Price]],-1,0))/OFFSET(USDJPY[[#This Row],[Price]],-1,0)</f>
        <v>-4.8780487804877971E-3</v>
      </c>
    </row>
    <row r="41" spans="4:9" x14ac:dyDescent="0.35">
      <c r="D41" vm="190">
        <f ca="1"/>
        <v>45412</v>
      </c>
      <c r="E41" vm="329">
        <f ca="1"/>
        <v>157.80000000000001</v>
      </c>
      <c r="G41" s="1" vm="127">
        <v>45323</v>
      </c>
      <c r="H41" s="3" vm="330">
        <v>146.41999999999999</v>
      </c>
      <c r="I41" s="5">
        <f ca="1">(USDJPY[[#This Row],[Price]]-OFFSET(USDJPY[[#This Row],[Price]],-1,0))/OFFSET(USDJPY[[#This Row],[Price]],-1,0)</f>
        <v>-3.1318082788671566E-3</v>
      </c>
    </row>
    <row r="42" spans="4:9" x14ac:dyDescent="0.35">
      <c r="D42" vm="191">
        <f ca="1"/>
        <v>45413</v>
      </c>
      <c r="E42" vm="331">
        <f ca="1"/>
        <v>154.47</v>
      </c>
      <c r="G42" s="1" vm="128">
        <v>45324</v>
      </c>
      <c r="H42" s="3" vm="332">
        <v>148.37</v>
      </c>
      <c r="I42" s="5">
        <f ca="1">(USDJPY[[#This Row],[Price]]-OFFSET(USDJPY[[#This Row],[Price]],-1,0))/OFFSET(USDJPY[[#This Row],[Price]],-1,0)</f>
        <v>1.3317852752356352E-2</v>
      </c>
    </row>
    <row r="43" spans="4:9" x14ac:dyDescent="0.35">
      <c r="D43" vm="192">
        <f ca="1"/>
        <v>45414</v>
      </c>
      <c r="E43" vm="333">
        <f ca="1"/>
        <v>153.63</v>
      </c>
      <c r="G43" s="1" vm="129">
        <v>45327</v>
      </c>
      <c r="H43" s="3" vm="334">
        <v>148.66999999999999</v>
      </c>
      <c r="I43" s="5">
        <f ca="1">(USDJPY[[#This Row],[Price]]-OFFSET(USDJPY[[#This Row],[Price]],-1,0))/OFFSET(USDJPY[[#This Row],[Price]],-1,0)</f>
        <v>2.0219720967849493E-3</v>
      </c>
    </row>
    <row r="44" spans="4:9" x14ac:dyDescent="0.35">
      <c r="D44" vm="193">
        <f ca="1"/>
        <v>45415</v>
      </c>
      <c r="E44" vm="335">
        <f ca="1"/>
        <v>152.97999999999999</v>
      </c>
      <c r="G44" s="1" vm="130">
        <v>45328</v>
      </c>
      <c r="H44" s="3" vm="336">
        <v>147.94</v>
      </c>
      <c r="I44" s="5">
        <f ca="1">(USDJPY[[#This Row],[Price]]-OFFSET(USDJPY[[#This Row],[Price]],-1,0))/OFFSET(USDJPY[[#This Row],[Price]],-1,0)</f>
        <v>-4.9102038070894588E-3</v>
      </c>
    </row>
    <row r="45" spans="4:9" x14ac:dyDescent="0.35">
      <c r="D45" vm="194">
        <f ca="1"/>
        <v>45418</v>
      </c>
      <c r="E45" vm="337">
        <f ca="1"/>
        <v>153.88</v>
      </c>
      <c r="G45" s="1" vm="131">
        <v>45329</v>
      </c>
      <c r="H45" s="3" vm="338">
        <v>148.18</v>
      </c>
      <c r="I45" s="5">
        <f ca="1">(USDJPY[[#This Row],[Price]]-OFFSET(USDJPY[[#This Row],[Price]],-1,0))/OFFSET(USDJPY[[#This Row],[Price]],-1,0)</f>
        <v>1.6222793024199614E-3</v>
      </c>
    </row>
    <row r="46" spans="4:9" x14ac:dyDescent="0.35">
      <c r="D46" vm="195">
        <f ca="1"/>
        <v>45419</v>
      </c>
      <c r="E46" vm="339">
        <f ca="1"/>
        <v>154.69</v>
      </c>
      <c r="G46" s="1" vm="132">
        <v>45330</v>
      </c>
      <c r="H46" s="3" vm="340">
        <v>149.31</v>
      </c>
      <c r="I46" s="5">
        <f ca="1">(USDJPY[[#This Row],[Price]]-OFFSET(USDJPY[[#This Row],[Price]],-1,0))/OFFSET(USDJPY[[#This Row],[Price]],-1,0)</f>
        <v>7.625860440005368E-3</v>
      </c>
    </row>
    <row r="47" spans="4:9" x14ac:dyDescent="0.35">
      <c r="D47" vm="196">
        <f ca="1"/>
        <v>45420</v>
      </c>
      <c r="E47" vm="341">
        <f ca="1"/>
        <v>155.47999999999999</v>
      </c>
      <c r="G47" s="1" vm="133">
        <v>45331</v>
      </c>
      <c r="H47" s="3" vm="342">
        <v>149.30000000000001</v>
      </c>
      <c r="I47" s="5">
        <f ca="1">(USDJPY[[#This Row],[Price]]-OFFSET(USDJPY[[#This Row],[Price]],-1,0))/OFFSET(USDJPY[[#This Row],[Price]],-1,0)</f>
        <v>-6.6974750518993402E-5</v>
      </c>
    </row>
    <row r="48" spans="4:9" x14ac:dyDescent="0.35">
      <c r="D48" vm="197">
        <f ca="1"/>
        <v>45421</v>
      </c>
      <c r="E48" vm="343">
        <f ca="1"/>
        <v>155.46</v>
      </c>
      <c r="G48" s="1" vm="134">
        <v>45334</v>
      </c>
      <c r="H48" s="3" vm="344">
        <v>149.34</v>
      </c>
      <c r="I48" s="5">
        <f ca="1">(USDJPY[[#This Row],[Price]]-OFFSET(USDJPY[[#This Row],[Price]],-1,0))/OFFSET(USDJPY[[#This Row],[Price]],-1,0)</f>
        <v>2.6791694574676518E-4</v>
      </c>
    </row>
    <row r="49" spans="4:9" x14ac:dyDescent="0.35">
      <c r="D49" vm="198">
        <f ca="1"/>
        <v>45422</v>
      </c>
      <c r="E49" vm="345">
        <f ca="1"/>
        <v>155.72</v>
      </c>
      <c r="G49" s="1" vm="135">
        <v>45335</v>
      </c>
      <c r="H49" s="3" vm="346">
        <v>150.79</v>
      </c>
      <c r="I49" s="5">
        <f ca="1">(USDJPY[[#This Row],[Price]]-OFFSET(USDJPY[[#This Row],[Price]],-1,0))/OFFSET(USDJPY[[#This Row],[Price]],-1,0)</f>
        <v>9.7093879737510953E-3</v>
      </c>
    </row>
    <row r="50" spans="4:9" x14ac:dyDescent="0.35">
      <c r="D50" vm="199">
        <f ca="1"/>
        <v>45425</v>
      </c>
      <c r="E50" vm="347">
        <f ca="1"/>
        <v>156.19999999999999</v>
      </c>
      <c r="G50" s="1" vm="136">
        <v>45336</v>
      </c>
      <c r="H50" s="3" vm="348">
        <v>150.55000000000001</v>
      </c>
      <c r="I50" s="5">
        <f ca="1">(USDJPY[[#This Row],[Price]]-OFFSET(USDJPY[[#This Row],[Price]],-1,0))/OFFSET(USDJPY[[#This Row],[Price]],-1,0)</f>
        <v>-1.5916174812652078E-3</v>
      </c>
    </row>
    <row r="51" spans="4:9" x14ac:dyDescent="0.35">
      <c r="D51" vm="200">
        <f ca="1"/>
        <v>45426</v>
      </c>
      <c r="E51" vm="349">
        <f ca="1"/>
        <v>156.41999999999999</v>
      </c>
      <c r="G51" s="1" vm="137">
        <v>45337</v>
      </c>
      <c r="H51" s="3" vm="350">
        <v>149.91</v>
      </c>
      <c r="I51" s="5">
        <f ca="1">(USDJPY[[#This Row],[Price]]-OFFSET(USDJPY[[#This Row],[Price]],-1,0))/OFFSET(USDJPY[[#This Row],[Price]],-1,0)</f>
        <v>-4.2510793756228146E-3</v>
      </c>
    </row>
    <row r="52" spans="4:9" x14ac:dyDescent="0.35">
      <c r="D52" vm="201">
        <f ca="1"/>
        <v>45427</v>
      </c>
      <c r="E52" vm="351">
        <f ca="1"/>
        <v>154.87</v>
      </c>
      <c r="G52" s="1" vm="138">
        <v>45338</v>
      </c>
      <c r="H52" s="3" vm="352">
        <v>150.21</v>
      </c>
      <c r="I52" s="5">
        <f ca="1">(USDJPY[[#This Row],[Price]]-OFFSET(USDJPY[[#This Row],[Price]],-1,0))/OFFSET(USDJPY[[#This Row],[Price]],-1,0)</f>
        <v>2.0012007204323352E-3</v>
      </c>
    </row>
    <row r="53" spans="4:9" x14ac:dyDescent="0.35">
      <c r="D53" vm="202">
        <f ca="1"/>
        <v>45428</v>
      </c>
      <c r="E53" vm="353">
        <f ca="1"/>
        <v>155.38</v>
      </c>
      <c r="G53" s="1" vm="139">
        <v>45341</v>
      </c>
      <c r="H53" s="3" vm="354">
        <v>150.11000000000001</v>
      </c>
      <c r="I53" s="5">
        <f ca="1">(USDJPY[[#This Row],[Price]]-OFFSET(USDJPY[[#This Row],[Price]],-1,0))/OFFSET(USDJPY[[#This Row],[Price]],-1,0)</f>
        <v>-6.6573463817318624E-4</v>
      </c>
    </row>
    <row r="54" spans="4:9" x14ac:dyDescent="0.35">
      <c r="D54" vm="203">
        <f ca="1"/>
        <v>45429</v>
      </c>
      <c r="E54" vm="323">
        <f ca="1"/>
        <v>155.65</v>
      </c>
      <c r="G54" s="1" vm="140">
        <v>45342</v>
      </c>
      <c r="H54" s="3" vm="355">
        <v>149.99</v>
      </c>
      <c r="I54" s="5">
        <f ca="1">(USDJPY[[#This Row],[Price]]-OFFSET(USDJPY[[#This Row],[Price]],-1,0))/OFFSET(USDJPY[[#This Row],[Price]],-1,0)</f>
        <v>-7.9941376324032067E-4</v>
      </c>
    </row>
    <row r="55" spans="4:9" x14ac:dyDescent="0.35">
      <c r="D55" vm="204">
        <f ca="1"/>
        <v>45432</v>
      </c>
      <c r="E55" vm="356">
        <f ca="1"/>
        <v>156.24</v>
      </c>
      <c r="G55" s="1" vm="141">
        <v>45343</v>
      </c>
      <c r="H55" s="3" vm="357">
        <v>150.28</v>
      </c>
      <c r="I55" s="5">
        <f ca="1">(USDJPY[[#This Row],[Price]]-OFFSET(USDJPY[[#This Row],[Price]],-1,0))/OFFSET(USDJPY[[#This Row],[Price]],-1,0)</f>
        <v>1.9334622308153345E-3</v>
      </c>
    </row>
    <row r="56" spans="4:9" x14ac:dyDescent="0.35">
      <c r="D56" vm="205">
        <f ca="1"/>
        <v>45433</v>
      </c>
      <c r="E56" vm="358">
        <f ca="1"/>
        <v>156.15</v>
      </c>
      <c r="G56" s="1" vm="142">
        <v>45344</v>
      </c>
      <c r="H56" s="3" vm="359">
        <v>150.51</v>
      </c>
      <c r="I56" s="5">
        <f ca="1">(USDJPY[[#This Row],[Price]]-OFFSET(USDJPY[[#This Row],[Price]],-1,0))/OFFSET(USDJPY[[#This Row],[Price]],-1,0)</f>
        <v>1.5304764439711856E-3</v>
      </c>
    </row>
    <row r="57" spans="4:9" x14ac:dyDescent="0.35">
      <c r="D57" vm="206">
        <f ca="1"/>
        <v>45434</v>
      </c>
      <c r="E57" vm="360">
        <f ca="1"/>
        <v>156.77000000000001</v>
      </c>
      <c r="G57" s="1" vm="143">
        <v>45345</v>
      </c>
      <c r="H57" s="3" vm="361">
        <v>150.5</v>
      </c>
      <c r="I57" s="5">
        <f ca="1">(USDJPY[[#This Row],[Price]]-OFFSET(USDJPY[[#This Row],[Price]],-1,0))/OFFSET(USDJPY[[#This Row],[Price]],-1,0)</f>
        <v>-6.6440768055218296E-5</v>
      </c>
    </row>
    <row r="58" spans="4:9" x14ac:dyDescent="0.35">
      <c r="D58" vm="207">
        <f ca="1"/>
        <v>45435</v>
      </c>
      <c r="E58" vm="362">
        <f ca="1"/>
        <v>156.93</v>
      </c>
      <c r="G58" s="1" vm="144">
        <v>45348</v>
      </c>
      <c r="H58" s="3" vm="363">
        <v>150.69</v>
      </c>
      <c r="I58" s="5">
        <f ca="1">(USDJPY[[#This Row],[Price]]-OFFSET(USDJPY[[#This Row],[Price]],-1,0))/OFFSET(USDJPY[[#This Row],[Price]],-1,0)</f>
        <v>1.2624584717607823E-3</v>
      </c>
    </row>
    <row r="59" spans="4:9" x14ac:dyDescent="0.35">
      <c r="D59" vm="208">
        <f ca="1"/>
        <v>45436</v>
      </c>
      <c r="E59" vm="364">
        <f ca="1"/>
        <v>156.99</v>
      </c>
      <c r="G59" s="1" vm="145">
        <v>45349</v>
      </c>
      <c r="H59" s="3" vm="361">
        <v>150.5</v>
      </c>
      <c r="I59" s="5">
        <f ca="1">(USDJPY[[#This Row],[Price]]-OFFSET(USDJPY[[#This Row],[Price]],-1,0))/OFFSET(USDJPY[[#This Row],[Price]],-1,0)</f>
        <v>-1.2608666799389324E-3</v>
      </c>
    </row>
    <row r="60" spans="4:9" x14ac:dyDescent="0.35">
      <c r="D60" vm="209">
        <f ca="1"/>
        <v>45439</v>
      </c>
      <c r="E60" vm="365">
        <f ca="1"/>
        <v>156.86000000000001</v>
      </c>
      <c r="G60" s="1" vm="146">
        <v>45350</v>
      </c>
      <c r="H60" s="3" vm="366">
        <v>150.66999999999999</v>
      </c>
      <c r="I60" s="5">
        <f ca="1">(USDJPY[[#This Row],[Price]]-OFFSET(USDJPY[[#This Row],[Price]],-1,0))/OFFSET(USDJPY[[#This Row],[Price]],-1,0)</f>
        <v>1.1295681063122093E-3</v>
      </c>
    </row>
    <row r="61" spans="4:9" x14ac:dyDescent="0.35">
      <c r="D61" vm="210">
        <f ca="1"/>
        <v>45440</v>
      </c>
      <c r="E61" vm="367">
        <f ca="1"/>
        <v>157.16</v>
      </c>
      <c r="G61" s="1" vm="147">
        <v>45351</v>
      </c>
      <c r="H61" s="3" vm="368">
        <v>149.97999999999999</v>
      </c>
      <c r="I61" s="5">
        <f ca="1">(USDJPY[[#This Row],[Price]]-OFFSET(USDJPY[[#This Row],[Price]],-1,0))/OFFSET(USDJPY[[#This Row],[Price]],-1,0)</f>
        <v>-4.5795447003384735E-3</v>
      </c>
    </row>
    <row r="62" spans="4:9" x14ac:dyDescent="0.35">
      <c r="D62" vm="211">
        <f ca="1"/>
        <v>45441</v>
      </c>
      <c r="E62" vm="369">
        <f ca="1"/>
        <v>157.6</v>
      </c>
      <c r="G62" s="1" vm="148">
        <v>45352</v>
      </c>
      <c r="H62" s="3" vm="354">
        <v>150.11000000000001</v>
      </c>
      <c r="I62" s="5">
        <f ca="1">(USDJPY[[#This Row],[Price]]-OFFSET(USDJPY[[#This Row],[Price]],-1,0))/OFFSET(USDJPY[[#This Row],[Price]],-1,0)</f>
        <v>8.6678223763184343E-4</v>
      </c>
    </row>
    <row r="63" spans="4:9" x14ac:dyDescent="0.35">
      <c r="D63" vm="212">
        <f ca="1"/>
        <v>45442</v>
      </c>
      <c r="E63" vm="370">
        <f ca="1"/>
        <v>156.81</v>
      </c>
      <c r="G63" s="1" vm="149">
        <v>45355</v>
      </c>
      <c r="H63" s="3" vm="359">
        <v>150.51</v>
      </c>
      <c r="I63" s="5">
        <f ca="1">(USDJPY[[#This Row],[Price]]-OFFSET(USDJPY[[#This Row],[Price]],-1,0))/OFFSET(USDJPY[[#This Row],[Price]],-1,0)</f>
        <v>2.6647125441341497E-3</v>
      </c>
    </row>
    <row r="64" spans="4:9" x14ac:dyDescent="0.35">
      <c r="D64" vm="213">
        <f ca="1"/>
        <v>45443</v>
      </c>
      <c r="E64" vm="371">
        <f ca="1"/>
        <v>157.31</v>
      </c>
      <c r="G64" s="1" vm="150">
        <v>45356</v>
      </c>
      <c r="H64" s="3" vm="372">
        <v>150.04</v>
      </c>
      <c r="I64" s="5">
        <f ca="1">(USDJPY[[#This Row],[Price]]-OFFSET(USDJPY[[#This Row],[Price]],-1,0))/OFFSET(USDJPY[[#This Row],[Price]],-1,0)</f>
        <v>-3.1227160985980926E-3</v>
      </c>
    </row>
    <row r="65" spans="4:9" x14ac:dyDescent="0.35">
      <c r="D65" vm="214">
        <f ca="1"/>
        <v>45446</v>
      </c>
      <c r="E65" vm="373">
        <f ca="1"/>
        <v>156.1</v>
      </c>
      <c r="G65" s="1" vm="151">
        <v>45357</v>
      </c>
      <c r="H65" s="3" vm="253">
        <v>149.37</v>
      </c>
      <c r="I65" s="5">
        <f ca="1">(USDJPY[[#This Row],[Price]]-OFFSET(USDJPY[[#This Row],[Price]],-1,0))/OFFSET(USDJPY[[#This Row],[Price]],-1,0)</f>
        <v>-4.4654758731004236E-3</v>
      </c>
    </row>
    <row r="66" spans="4:9" x14ac:dyDescent="0.35">
      <c r="D66" vm="215">
        <f ca="1"/>
        <v>45447</v>
      </c>
      <c r="E66" vm="351">
        <f ca="1"/>
        <v>154.87</v>
      </c>
      <c r="G66" s="1" vm="152">
        <v>45358</v>
      </c>
      <c r="H66" s="3" vm="256">
        <v>148.03</v>
      </c>
      <c r="I66" s="5">
        <f ca="1">(USDJPY[[#This Row],[Price]]-OFFSET(USDJPY[[#This Row],[Price]],-1,0))/OFFSET(USDJPY[[#This Row],[Price]],-1,0)</f>
        <v>-8.9710115819776615E-3</v>
      </c>
    </row>
    <row r="67" spans="4:9" x14ac:dyDescent="0.35">
      <c r="D67" vm="216">
        <f ca="1"/>
        <v>45448</v>
      </c>
      <c r="E67" vm="373">
        <f ca="1"/>
        <v>156.1</v>
      </c>
      <c r="G67" s="1" vm="153">
        <v>45359</v>
      </c>
      <c r="H67" s="3" vm="259">
        <v>147.07</v>
      </c>
      <c r="I67" s="5">
        <f ca="1">(USDJPY[[#This Row],[Price]]-OFFSET(USDJPY[[#This Row],[Price]],-1,0))/OFFSET(USDJPY[[#This Row],[Price]],-1,0)</f>
        <v>-6.4851719246099299E-3</v>
      </c>
    </row>
    <row r="68" spans="4:9" x14ac:dyDescent="0.35">
      <c r="D68" vm="217">
        <f ca="1"/>
        <v>45449</v>
      </c>
      <c r="E68" vm="374">
        <f ca="1"/>
        <v>155.6</v>
      </c>
      <c r="G68" s="1" vm="154">
        <v>45362</v>
      </c>
      <c r="H68" s="3" vm="262">
        <v>146.94</v>
      </c>
      <c r="I68" s="5">
        <f ca="1">(USDJPY[[#This Row],[Price]]-OFFSET(USDJPY[[#This Row],[Price]],-1,0))/OFFSET(USDJPY[[#This Row],[Price]],-1,0)</f>
        <v>-8.8393282110556508E-4</v>
      </c>
    </row>
    <row r="69" spans="4:9" x14ac:dyDescent="0.35">
      <c r="D69" vm="218">
        <f ca="1"/>
        <v>45450</v>
      </c>
      <c r="E69" vm="375">
        <f ca="1"/>
        <v>156.69999999999999</v>
      </c>
      <c r="G69" s="1" vm="155">
        <v>45363</v>
      </c>
      <c r="H69" s="3" vm="264">
        <v>147.68</v>
      </c>
      <c r="I69" s="5">
        <f ca="1">(USDJPY[[#This Row],[Price]]-OFFSET(USDJPY[[#This Row],[Price]],-1,0))/OFFSET(USDJPY[[#This Row],[Price]],-1,0)</f>
        <v>5.0360691438683077E-3</v>
      </c>
    </row>
    <row r="70" spans="4:9" x14ac:dyDescent="0.35">
      <c r="D70" vm="219">
        <f ca="1"/>
        <v>45453</v>
      </c>
      <c r="E70" vm="376">
        <f ca="1"/>
        <v>157.02000000000001</v>
      </c>
      <c r="G70" s="1" vm="156">
        <v>45364</v>
      </c>
      <c r="H70" s="3" vm="266">
        <v>147.74</v>
      </c>
      <c r="I70" s="5">
        <f ca="1">(USDJPY[[#This Row],[Price]]-OFFSET(USDJPY[[#This Row],[Price]],-1,0))/OFFSET(USDJPY[[#This Row],[Price]],-1,0)</f>
        <v>4.0628385698809774E-4</v>
      </c>
    </row>
    <row r="71" spans="4:9" x14ac:dyDescent="0.35">
      <c r="D71" vm="220">
        <f ca="1"/>
        <v>45454</v>
      </c>
      <c r="E71" vm="377">
        <f ca="1"/>
        <v>157.07</v>
      </c>
      <c r="G71" s="1" vm="157">
        <v>45365</v>
      </c>
      <c r="H71" s="3" vm="268">
        <v>148.32</v>
      </c>
      <c r="I71" s="5">
        <f ca="1">(USDJPY[[#This Row],[Price]]-OFFSET(USDJPY[[#This Row],[Price]],-1,0))/OFFSET(USDJPY[[#This Row],[Price]],-1,0)</f>
        <v>3.925815622038609E-3</v>
      </c>
    </row>
    <row r="72" spans="4:9" x14ac:dyDescent="0.35">
      <c r="D72" vm="221">
        <f ca="1"/>
        <v>45455</v>
      </c>
      <c r="E72" vm="378">
        <f ca="1"/>
        <v>156.71</v>
      </c>
      <c r="G72" s="1" vm="158">
        <v>45366</v>
      </c>
      <c r="H72" s="3" vm="270">
        <v>149.02000000000001</v>
      </c>
      <c r="I72" s="5">
        <f ca="1">(USDJPY[[#This Row],[Price]]-OFFSET(USDJPY[[#This Row],[Price]],-1,0))/OFFSET(USDJPY[[#This Row],[Price]],-1,0)</f>
        <v>4.7195253505934271E-3</v>
      </c>
    </row>
    <row r="73" spans="4:9" x14ac:dyDescent="0.35">
      <c r="D73" vm="222">
        <f ca="1"/>
        <v>45456</v>
      </c>
      <c r="E73" vm="376">
        <f ca="1"/>
        <v>157.02000000000001</v>
      </c>
      <c r="G73" s="1" vm="159">
        <v>45369</v>
      </c>
      <c r="H73" s="3" vm="272">
        <v>149.13999999999999</v>
      </c>
      <c r="I73" s="5">
        <f ca="1">(USDJPY[[#This Row],[Price]]-OFFSET(USDJPY[[#This Row],[Price]],-1,0))/OFFSET(USDJPY[[#This Row],[Price]],-1,0)</f>
        <v>8.0526103878657978E-4</v>
      </c>
    </row>
    <row r="74" spans="4:9" x14ac:dyDescent="0.35">
      <c r="D74" vm="223">
        <f ca="1"/>
        <v>45457</v>
      </c>
      <c r="E74" vm="379">
        <f ca="1"/>
        <v>157.37</v>
      </c>
      <c r="G74" s="1" vm="160">
        <v>45370</v>
      </c>
      <c r="H74" s="3" vm="274">
        <v>150.85</v>
      </c>
      <c r="I74" s="5">
        <f ca="1">(USDJPY[[#This Row],[Price]]-OFFSET(USDJPY[[#This Row],[Price]],-1,0))/OFFSET(USDJPY[[#This Row],[Price]],-1,0)</f>
        <v>1.1465736891511386E-2</v>
      </c>
    </row>
    <row r="75" spans="4:9" x14ac:dyDescent="0.35">
      <c r="D75" vm="224">
        <f ca="1"/>
        <v>45460</v>
      </c>
      <c r="E75" vm="380">
        <f ca="1"/>
        <v>157.71</v>
      </c>
      <c r="G75" s="1" vm="161">
        <v>45371</v>
      </c>
      <c r="H75" s="3" vm="276">
        <v>151.25</v>
      </c>
      <c r="I75" s="5">
        <f ca="1">(USDJPY[[#This Row],[Price]]-OFFSET(USDJPY[[#This Row],[Price]],-1,0))/OFFSET(USDJPY[[#This Row],[Price]],-1,0)</f>
        <v>2.6516407026848242E-3</v>
      </c>
    </row>
    <row r="76" spans="4:9" x14ac:dyDescent="0.35">
      <c r="D76" vm="225">
        <f ca="1"/>
        <v>45461</v>
      </c>
      <c r="E76" vm="381">
        <f ca="1"/>
        <v>157.85</v>
      </c>
      <c r="G76" s="1" vm="162">
        <v>45372</v>
      </c>
      <c r="H76" s="3" vm="278">
        <v>151.61000000000001</v>
      </c>
      <c r="I76" s="5">
        <f ca="1">(USDJPY[[#This Row],[Price]]-OFFSET(USDJPY[[#This Row],[Price]],-1,0))/OFFSET(USDJPY[[#This Row],[Price]],-1,0)</f>
        <v>2.3801652892562887E-3</v>
      </c>
    </row>
    <row r="77" spans="4:9" x14ac:dyDescent="0.35">
      <c r="D77" vm="226">
        <f ca="1"/>
        <v>45462</v>
      </c>
      <c r="E77" vm="382">
        <f ca="1"/>
        <v>158.08000000000001</v>
      </c>
      <c r="G77" s="1" vm="163">
        <v>45373</v>
      </c>
      <c r="H77" s="3" vm="280">
        <v>151.41999999999999</v>
      </c>
      <c r="I77" s="5">
        <f ca="1">(USDJPY[[#This Row],[Price]]-OFFSET(USDJPY[[#This Row],[Price]],-1,0))/OFFSET(USDJPY[[#This Row],[Price]],-1,0)</f>
        <v>-1.2532154871052446E-3</v>
      </c>
    </row>
    <row r="78" spans="4:9" x14ac:dyDescent="0.35">
      <c r="D78" vm="227">
        <f ca="1"/>
        <v>45463</v>
      </c>
      <c r="E78" vm="383">
        <f ca="1"/>
        <v>158.9</v>
      </c>
      <c r="G78" s="1" vm="164">
        <v>45376</v>
      </c>
      <c r="H78" s="3" vm="282">
        <v>151.41</v>
      </c>
      <c r="I78" s="5">
        <f ca="1">(USDJPY[[#This Row],[Price]]-OFFSET(USDJPY[[#This Row],[Price]],-1,0))/OFFSET(USDJPY[[#This Row],[Price]],-1,0)</f>
        <v>-6.6041474045640646E-5</v>
      </c>
    </row>
    <row r="79" spans="4:9" x14ac:dyDescent="0.35">
      <c r="D79" vm="228">
        <f ca="1"/>
        <v>45464</v>
      </c>
      <c r="E79" vm="384">
        <f ca="1"/>
        <v>159.79</v>
      </c>
      <c r="G79" s="1" vm="165">
        <v>45377</v>
      </c>
      <c r="H79" s="3" vm="284">
        <v>151.55000000000001</v>
      </c>
      <c r="I79" s="5">
        <f ca="1">(USDJPY[[#This Row],[Price]]-OFFSET(USDJPY[[#This Row],[Price]],-1,0))/OFFSET(USDJPY[[#This Row],[Price]],-1,0)</f>
        <v>9.246417013408281E-4</v>
      </c>
    </row>
    <row r="80" spans="4:9" x14ac:dyDescent="0.35">
      <c r="D80" vm="229">
        <f ca="1"/>
        <v>45467</v>
      </c>
      <c r="E80" vm="385">
        <f ca="1"/>
        <v>159.59</v>
      </c>
      <c r="G80" s="1" vm="166">
        <v>45378</v>
      </c>
      <c r="H80" s="3" vm="286">
        <v>151.32</v>
      </c>
      <c r="I80" s="5">
        <f ca="1">(USDJPY[[#This Row],[Price]]-OFFSET(USDJPY[[#This Row],[Price]],-1,0))/OFFSET(USDJPY[[#This Row],[Price]],-1,0)</f>
        <v>-1.5176509402838546E-3</v>
      </c>
    </row>
    <row r="81" spans="4:9" x14ac:dyDescent="0.35">
      <c r="D81" vm="230">
        <f ca="1"/>
        <v>45468</v>
      </c>
      <c r="E81" vm="386">
        <f ca="1"/>
        <v>159.69</v>
      </c>
      <c r="G81" s="1" vm="167">
        <v>45379</v>
      </c>
      <c r="H81" s="3" vm="288">
        <v>151.37</v>
      </c>
      <c r="I81" s="5">
        <f ca="1">(USDJPY[[#This Row],[Price]]-OFFSET(USDJPY[[#This Row],[Price]],-1,0))/OFFSET(USDJPY[[#This Row],[Price]],-1,0)</f>
        <v>3.3042558815762207E-4</v>
      </c>
    </row>
    <row r="82" spans="4:9" x14ac:dyDescent="0.35">
      <c r="D82" vm="231">
        <f ca="1"/>
        <v>45469</v>
      </c>
      <c r="E82" vm="387">
        <f ca="1"/>
        <v>160.79</v>
      </c>
      <c r="G82" s="1" vm="168">
        <v>45380</v>
      </c>
      <c r="H82" s="3" vm="290">
        <v>151.31</v>
      </c>
      <c r="I82" s="5">
        <f ca="1">(USDJPY[[#This Row],[Price]]-OFFSET(USDJPY[[#This Row],[Price]],-1,0))/OFFSET(USDJPY[[#This Row],[Price]],-1,0)</f>
        <v>-3.9637973178306316E-4</v>
      </c>
    </row>
    <row r="83" spans="4:9" x14ac:dyDescent="0.35">
      <c r="D83" vm="232">
        <f ca="1"/>
        <v>45470</v>
      </c>
      <c r="E83" vm="388">
        <f ca="1"/>
        <v>160.74</v>
      </c>
      <c r="G83" s="1" vm="169">
        <v>45383</v>
      </c>
      <c r="H83" s="3" vm="292">
        <v>151.63</v>
      </c>
      <c r="I83" s="5">
        <f ca="1">(USDJPY[[#This Row],[Price]]-OFFSET(USDJPY[[#This Row],[Price]],-1,0))/OFFSET(USDJPY[[#This Row],[Price]],-1,0)</f>
        <v>2.1148635252130933E-3</v>
      </c>
    </row>
    <row r="84" spans="4:9" x14ac:dyDescent="0.35">
      <c r="D84" vm="233">
        <f ca="1"/>
        <v>45471</v>
      </c>
      <c r="E84" vm="389">
        <f ca="1"/>
        <v>160.83000000000001</v>
      </c>
      <c r="G84" s="1" vm="170">
        <v>45384</v>
      </c>
      <c r="H84" s="3" vm="284">
        <v>151.55000000000001</v>
      </c>
      <c r="I84" s="5">
        <f ca="1">(USDJPY[[#This Row],[Price]]-OFFSET(USDJPY[[#This Row],[Price]],-1,0))/OFFSET(USDJPY[[#This Row],[Price]],-1,0)</f>
        <v>-5.276000791399069E-4</v>
      </c>
    </row>
    <row r="85" spans="4:9" x14ac:dyDescent="0.35">
      <c r="D85" vm="234">
        <f ca="1"/>
        <v>45474</v>
      </c>
      <c r="E85" vm="390">
        <f ca="1"/>
        <v>161.44999999999999</v>
      </c>
      <c r="G85" s="1" vm="171">
        <v>45385</v>
      </c>
      <c r="H85" s="3" vm="295">
        <v>151.68</v>
      </c>
      <c r="I85" s="5">
        <f ca="1">(USDJPY[[#This Row],[Price]]-OFFSET(USDJPY[[#This Row],[Price]],-1,0))/OFFSET(USDJPY[[#This Row],[Price]],-1,0)</f>
        <v>8.5780270537773307E-4</v>
      </c>
    </row>
    <row r="86" spans="4:9" x14ac:dyDescent="0.35">
      <c r="D86" vm="235">
        <f ca="1"/>
        <v>45475</v>
      </c>
      <c r="E86" vm="391">
        <f ca="1"/>
        <v>161.44</v>
      </c>
      <c r="G86" s="1" vm="172">
        <v>45386</v>
      </c>
      <c r="H86" s="3" vm="297">
        <v>151.33000000000001</v>
      </c>
      <c r="I86" s="5">
        <f ca="1">(USDJPY[[#This Row],[Price]]-OFFSET(USDJPY[[#This Row],[Price]],-1,0))/OFFSET(USDJPY[[#This Row],[Price]],-1,0)</f>
        <v>-2.3074894514767555E-3</v>
      </c>
    </row>
    <row r="87" spans="4:9" x14ac:dyDescent="0.35">
      <c r="D87" vm="236">
        <f ca="1"/>
        <v>45476</v>
      </c>
      <c r="E87" vm="392">
        <f ca="1"/>
        <v>161.68</v>
      </c>
      <c r="G87" s="1" vm="173">
        <v>45387</v>
      </c>
      <c r="H87" s="3" vm="278">
        <v>151.61000000000001</v>
      </c>
      <c r="I87" s="5">
        <f ca="1">(USDJPY[[#This Row],[Price]]-OFFSET(USDJPY[[#This Row],[Price]],-1,0))/OFFSET(USDJPY[[#This Row],[Price]],-1,0)</f>
        <v>1.8502610189651829E-3</v>
      </c>
    </row>
    <row r="88" spans="4:9" x14ac:dyDescent="0.35">
      <c r="D88" vm="237">
        <f ca="1"/>
        <v>45477</v>
      </c>
      <c r="E88" vm="393">
        <f ca="1"/>
        <v>161.25</v>
      </c>
      <c r="G88" s="1" vm="174">
        <v>45390</v>
      </c>
      <c r="H88" s="3" vm="300">
        <v>151.79</v>
      </c>
      <c r="I88" s="5">
        <f ca="1">(USDJPY[[#This Row],[Price]]-OFFSET(USDJPY[[#This Row],[Price]],-1,0))/OFFSET(USDJPY[[#This Row],[Price]],-1,0)</f>
        <v>1.1872567772572944E-3</v>
      </c>
    </row>
    <row r="89" spans="4:9" x14ac:dyDescent="0.35">
      <c r="D89" vm="238">
        <f ca="1"/>
        <v>45478</v>
      </c>
      <c r="E89" vm="394">
        <f ca="1"/>
        <v>160.72</v>
      </c>
      <c r="G89" s="1" vm="175">
        <v>45391</v>
      </c>
      <c r="H89" s="3" vm="302">
        <v>151.77000000000001</v>
      </c>
      <c r="I89" s="5">
        <f ca="1">(USDJPY[[#This Row],[Price]]-OFFSET(USDJPY[[#This Row],[Price]],-1,0))/OFFSET(USDJPY[[#This Row],[Price]],-1,0)</f>
        <v>-1.3176098557205225E-4</v>
      </c>
    </row>
    <row r="90" spans="4:9" x14ac:dyDescent="0.35">
      <c r="D90" vm="239">
        <f ca="1"/>
        <v>45481</v>
      </c>
      <c r="E90" vm="395">
        <f ca="1"/>
        <v>160.81</v>
      </c>
      <c r="G90" s="1" vm="176">
        <v>45392</v>
      </c>
      <c r="H90" s="3" vm="304">
        <v>153.16999999999999</v>
      </c>
      <c r="I90" s="5">
        <f ca="1">(USDJPY[[#This Row],[Price]]-OFFSET(USDJPY[[#This Row],[Price]],-1,0))/OFFSET(USDJPY[[#This Row],[Price]],-1,0)</f>
        <v>9.2244844172101013E-3</v>
      </c>
    </row>
    <row r="91" spans="4:9" x14ac:dyDescent="0.35">
      <c r="D91" vm="240">
        <f ca="1"/>
        <v>45482</v>
      </c>
      <c r="E91" vm="396">
        <f ca="1"/>
        <v>161.31</v>
      </c>
      <c r="G91" s="1" vm="177">
        <v>45393</v>
      </c>
      <c r="H91" s="3" vm="306">
        <v>153.27000000000001</v>
      </c>
      <c r="I91" s="5">
        <f ca="1">(USDJPY[[#This Row],[Price]]-OFFSET(USDJPY[[#This Row],[Price]],-1,0))/OFFSET(USDJPY[[#This Row],[Price]],-1,0)</f>
        <v>6.5286936084104426E-4</v>
      </c>
    </row>
    <row r="92" spans="4:9" x14ac:dyDescent="0.35">
      <c r="D92" vm="241">
        <f ca="1"/>
        <v>45483</v>
      </c>
      <c r="E92" vm="397">
        <f ca="1"/>
        <v>161.66999999999999</v>
      </c>
      <c r="G92" s="1" vm="178">
        <v>45394</v>
      </c>
      <c r="H92" s="3" vm="307">
        <v>153.28</v>
      </c>
      <c r="I92" s="5">
        <f ca="1">(USDJPY[[#This Row],[Price]]-OFFSET(USDJPY[[#This Row],[Price]],-1,0))/OFFSET(USDJPY[[#This Row],[Price]],-1,0)</f>
        <v>6.5244340053441014E-5</v>
      </c>
    </row>
    <row r="93" spans="4:9" x14ac:dyDescent="0.35">
      <c r="D93" vm="242">
        <f ca="1"/>
        <v>45484</v>
      </c>
      <c r="E93" vm="398">
        <f ca="1"/>
        <v>158.80000000000001</v>
      </c>
      <c r="G93" s="1" vm="179">
        <v>45397</v>
      </c>
      <c r="H93" s="3" vm="309">
        <v>154.27000000000001</v>
      </c>
      <c r="I93" s="5">
        <f ca="1">(USDJPY[[#This Row],[Price]]-OFFSET(USDJPY[[#This Row],[Price]],-1,0))/OFFSET(USDJPY[[#This Row],[Price]],-1,0)</f>
        <v>6.4587682672234414E-3</v>
      </c>
    </row>
    <row r="94" spans="4:9" x14ac:dyDescent="0.35">
      <c r="D94" vm="243">
        <f ca="1"/>
        <v>45485</v>
      </c>
      <c r="E94" vm="399">
        <f ca="1"/>
        <v>157.88999999999999</v>
      </c>
      <c r="G94" s="1" vm="180">
        <v>45398</v>
      </c>
      <c r="H94" s="3" vm="311">
        <v>154.71</v>
      </c>
      <c r="I94" s="5">
        <f ca="1">(USDJPY[[#This Row],[Price]]-OFFSET(USDJPY[[#This Row],[Price]],-1,0))/OFFSET(USDJPY[[#This Row],[Price]],-1,0)</f>
        <v>2.8521423478317085E-3</v>
      </c>
    </row>
    <row r="95" spans="4:9" x14ac:dyDescent="0.35">
      <c r="D95" vm="244">
        <f ca="1"/>
        <v>45488</v>
      </c>
      <c r="E95" vm="400">
        <f ca="1"/>
        <v>158.01</v>
      </c>
      <c r="G95" s="1" vm="181">
        <v>45399</v>
      </c>
      <c r="H95" s="3" vm="312">
        <v>154.38</v>
      </c>
      <c r="I95" s="5">
        <f ca="1">(USDJPY[[#This Row],[Price]]-OFFSET(USDJPY[[#This Row],[Price]],-1,0))/OFFSET(USDJPY[[#This Row],[Price]],-1,0)</f>
        <v>-2.1330230754315329E-3</v>
      </c>
    </row>
    <row r="96" spans="4:9" x14ac:dyDescent="0.35">
      <c r="D96" vm="245">
        <f ca="1"/>
        <v>45489</v>
      </c>
      <c r="E96" vm="401">
        <f ca="1"/>
        <v>158.34</v>
      </c>
      <c r="G96" s="1" vm="182">
        <v>45400</v>
      </c>
      <c r="H96" s="3" vm="314">
        <v>154.63</v>
      </c>
      <c r="I96" s="5">
        <f ca="1">(USDJPY[[#This Row],[Price]]-OFFSET(USDJPY[[#This Row],[Price]],-1,0))/OFFSET(USDJPY[[#This Row],[Price]],-1,0)</f>
        <v>1.6193807488016584E-3</v>
      </c>
    </row>
    <row r="97" spans="4:9" x14ac:dyDescent="0.35">
      <c r="D97" vm="246">
        <f ca="1"/>
        <v>45490</v>
      </c>
      <c r="E97" vm="402">
        <f ca="1"/>
        <v>156.16</v>
      </c>
      <c r="G97" s="1" vm="183">
        <v>45401</v>
      </c>
      <c r="H97" s="3" vm="314">
        <v>154.63</v>
      </c>
      <c r="I97" s="5">
        <f ca="1">(USDJPY[[#This Row],[Price]]-OFFSET(USDJPY[[#This Row],[Price]],-1,0))/OFFSET(USDJPY[[#This Row],[Price]],-1,0)</f>
        <v>0</v>
      </c>
    </row>
    <row r="98" spans="4:9" x14ac:dyDescent="0.35">
      <c r="D98" vm="247">
        <f ca="1"/>
        <v>45491</v>
      </c>
      <c r="E98" vm="379">
        <f ca="1"/>
        <v>157.37</v>
      </c>
      <c r="G98" s="1" vm="184">
        <v>45404</v>
      </c>
      <c r="H98" s="3" vm="317">
        <v>154.84</v>
      </c>
      <c r="I98" s="5">
        <f ca="1">(USDJPY[[#This Row],[Price]]-OFFSET(USDJPY[[#This Row],[Price]],-1,0))/OFFSET(USDJPY[[#This Row],[Price]],-1,0)</f>
        <v>1.3580805794477654E-3</v>
      </c>
    </row>
    <row r="99" spans="4:9" x14ac:dyDescent="0.35">
      <c r="D99" vm="248">
        <f ca="1"/>
        <v>45492</v>
      </c>
      <c r="E99" vm="403">
        <f ca="1"/>
        <v>157.49</v>
      </c>
      <c r="G99" s="1" vm="185">
        <v>45405</v>
      </c>
      <c r="H99" s="3" vm="319">
        <v>154.82</v>
      </c>
      <c r="I99" s="5">
        <f ca="1">(USDJPY[[#This Row],[Price]]-OFFSET(USDJPY[[#This Row],[Price]],-1,0))/OFFSET(USDJPY[[#This Row],[Price]],-1,0)</f>
        <v>-1.2916559028681369E-4</v>
      </c>
    </row>
    <row r="100" spans="4:9" x14ac:dyDescent="0.35">
      <c r="D100" vm="249">
        <f ca="1"/>
        <v>45495</v>
      </c>
      <c r="E100" vm="404">
        <f ca="1"/>
        <v>157</v>
      </c>
      <c r="G100" s="1" vm="186">
        <v>45406</v>
      </c>
      <c r="H100" s="3" vm="321">
        <v>155.34</v>
      </c>
      <c r="I100" s="5">
        <f ca="1">(USDJPY[[#This Row],[Price]]-OFFSET(USDJPY[[#This Row],[Price]],-1,0))/OFFSET(USDJPY[[#This Row],[Price]],-1,0)</f>
        <v>3.3587391809844352E-3</v>
      </c>
    </row>
    <row r="101" spans="4:9" x14ac:dyDescent="0.35">
      <c r="D101" vm="250">
        <f ca="1"/>
        <v>45496</v>
      </c>
      <c r="E101" vm="405">
        <f ca="1"/>
        <v>155.58000000000001</v>
      </c>
      <c r="G101" s="1" vm="187">
        <v>45407</v>
      </c>
      <c r="H101" s="3" vm="323">
        <v>155.65</v>
      </c>
      <c r="I101" s="5">
        <f ca="1">(USDJPY[[#This Row],[Price]]-OFFSET(USDJPY[[#This Row],[Price]],-1,0))/OFFSET(USDJPY[[#This Row],[Price]],-1,0)</f>
        <v>1.9956225054718829E-3</v>
      </c>
    </row>
    <row r="102" spans="4:9" x14ac:dyDescent="0.35">
      <c r="D102" vm="251">
        <f ca="1"/>
        <v>45497</v>
      </c>
      <c r="E102" vm="406">
        <f ca="1"/>
        <v>153.87</v>
      </c>
      <c r="G102" s="1" vm="188">
        <v>45408</v>
      </c>
      <c r="H102" s="3" vm="325">
        <v>158.33000000000001</v>
      </c>
      <c r="I102" s="5">
        <f ca="1">(USDJPY[[#This Row],[Price]]-OFFSET(USDJPY[[#This Row],[Price]],-1,0))/OFFSET(USDJPY[[#This Row],[Price]],-1,0)</f>
        <v>1.7218117571474505E-2</v>
      </c>
    </row>
    <row r="103" spans="4:9" x14ac:dyDescent="0.35">
      <c r="D103" vm="252">
        <f ca="1"/>
        <v>45498</v>
      </c>
      <c r="E103" vm="407">
        <f ca="1"/>
        <v>153.93</v>
      </c>
      <c r="G103" s="1" vm="189">
        <v>45411</v>
      </c>
      <c r="H103" s="3" vm="327">
        <v>156.33000000000001</v>
      </c>
      <c r="I103" s="5">
        <f ca="1">(USDJPY[[#This Row],[Price]]-OFFSET(USDJPY[[#This Row],[Price]],-1,0))/OFFSET(USDJPY[[#This Row],[Price]],-1,0)</f>
        <v>-1.263184488094486E-2</v>
      </c>
    </row>
    <row r="104" spans="4:9" x14ac:dyDescent="0.35">
      <c r="D104" vm="1">
        <f ca="1"/>
        <v>45499</v>
      </c>
      <c r="E104" vm="408">
        <f ca="1"/>
        <v>153.72</v>
      </c>
      <c r="G104" s="1" vm="190">
        <v>45412</v>
      </c>
      <c r="H104" s="3" vm="329">
        <v>157.80000000000001</v>
      </c>
      <c r="I104" s="5">
        <f ca="1">(USDJPY[[#This Row],[Price]]-OFFSET(USDJPY[[#This Row],[Price]],-1,0))/OFFSET(USDJPY[[#This Row],[Price]],-1,0)</f>
        <v>9.4031855689886701E-3</v>
      </c>
    </row>
    <row r="105" spans="4:9" x14ac:dyDescent="0.35">
      <c r="D105" vm="2">
        <f ca="1"/>
        <v>45502</v>
      </c>
      <c r="E105" vm="409">
        <f ca="1"/>
        <v>154.01</v>
      </c>
      <c r="G105" s="1" vm="191">
        <v>45413</v>
      </c>
      <c r="H105" s="3" vm="331">
        <v>154.47</v>
      </c>
      <c r="I105" s="5">
        <f ca="1">(USDJPY[[#This Row],[Price]]-OFFSET(USDJPY[[#This Row],[Price]],-1,0))/OFFSET(USDJPY[[#This Row],[Price]],-1,0)</f>
        <v>-2.1102661596958252E-2</v>
      </c>
    </row>
    <row r="106" spans="4:9" x14ac:dyDescent="0.35">
      <c r="D106" vm="3">
        <f ca="1"/>
        <v>45503</v>
      </c>
      <c r="E106" vm="410">
        <f ca="1"/>
        <v>152.76</v>
      </c>
      <c r="G106" s="1" vm="192">
        <v>45414</v>
      </c>
      <c r="H106" s="3" vm="333">
        <v>153.63</v>
      </c>
      <c r="I106" s="5">
        <f ca="1">(USDJPY[[#This Row],[Price]]-OFFSET(USDJPY[[#This Row],[Price]],-1,0))/OFFSET(USDJPY[[#This Row],[Price]],-1,0)</f>
        <v>-5.4379491163332903E-3</v>
      </c>
    </row>
    <row r="107" spans="4:9" x14ac:dyDescent="0.35">
      <c r="D107" vm="4">
        <f ca="1"/>
        <v>45504</v>
      </c>
      <c r="E107" vm="368">
        <f ca="1"/>
        <v>149.97999999999999</v>
      </c>
      <c r="G107" s="1" vm="193">
        <v>45415</v>
      </c>
      <c r="H107" s="3" vm="335">
        <v>152.97999999999999</v>
      </c>
      <c r="I107" s="5">
        <f ca="1">(USDJPY[[#This Row],[Price]]-OFFSET(USDJPY[[#This Row],[Price]],-1,0))/OFFSET(USDJPY[[#This Row],[Price]],-1,0)</f>
        <v>-4.2309444769902081E-3</v>
      </c>
    </row>
    <row r="108" spans="4:9" x14ac:dyDescent="0.35">
      <c r="D108" vm="5">
        <f ca="1"/>
        <v>45505</v>
      </c>
      <c r="E108" vm="411">
        <f ca="1"/>
        <v>149.36000000000001</v>
      </c>
      <c r="G108" s="1" vm="194">
        <v>45418</v>
      </c>
      <c r="H108" s="3" vm="337">
        <v>153.88</v>
      </c>
      <c r="I108" s="5">
        <f ca="1">(USDJPY[[#This Row],[Price]]-OFFSET(USDJPY[[#This Row],[Price]],-1,0))/OFFSET(USDJPY[[#This Row],[Price]],-1,0)</f>
        <v>5.8831219767290222E-3</v>
      </c>
    </row>
    <row r="109" spans="4:9" x14ac:dyDescent="0.35">
      <c r="D109" vm="6">
        <f ca="1"/>
        <v>45506</v>
      </c>
      <c r="E109" vm="412">
        <f ca="1"/>
        <v>146.54</v>
      </c>
      <c r="G109" s="1" vm="195">
        <v>45419</v>
      </c>
      <c r="H109" s="3" vm="339">
        <v>154.69</v>
      </c>
      <c r="I109" s="5">
        <f ca="1">(USDJPY[[#This Row],[Price]]-OFFSET(USDJPY[[#This Row],[Price]],-1,0))/OFFSET(USDJPY[[#This Row],[Price]],-1,0)</f>
        <v>5.2638419547699654E-3</v>
      </c>
    </row>
    <row r="110" spans="4:9" x14ac:dyDescent="0.35">
      <c r="D110" vm="7">
        <f ca="1"/>
        <v>45509</v>
      </c>
      <c r="E110" vm="413">
        <f ca="1"/>
        <v>144.16999999999999</v>
      </c>
      <c r="G110" s="1" vm="196">
        <v>45420</v>
      </c>
      <c r="H110" s="3" vm="341">
        <v>155.47999999999999</v>
      </c>
      <c r="I110" s="5">
        <f ca="1">(USDJPY[[#This Row],[Price]]-OFFSET(USDJPY[[#This Row],[Price]],-1,0))/OFFSET(USDJPY[[#This Row],[Price]],-1,0)</f>
        <v>5.1069881698881121E-3</v>
      </c>
    </row>
    <row r="111" spans="4:9" x14ac:dyDescent="0.35">
      <c r="D111" vm="8">
        <f ca="1"/>
        <v>45510</v>
      </c>
      <c r="E111" vm="414">
        <f ca="1"/>
        <v>144.30000000000001</v>
      </c>
      <c r="G111" s="1" vm="197">
        <v>45421</v>
      </c>
      <c r="H111" s="3" vm="343">
        <v>155.46</v>
      </c>
      <c r="I111" s="5">
        <f ca="1">(USDJPY[[#This Row],[Price]]-OFFSET(USDJPY[[#This Row],[Price]],-1,0))/OFFSET(USDJPY[[#This Row],[Price]],-1,0)</f>
        <v>-1.2863390789800497E-4</v>
      </c>
    </row>
    <row r="112" spans="4:9" x14ac:dyDescent="0.35">
      <c r="D112" vm="9">
        <f ca="1"/>
        <v>45511</v>
      </c>
      <c r="E112" vm="415">
        <f ca="1"/>
        <v>146.69</v>
      </c>
      <c r="G112" s="1" vm="198">
        <v>45422</v>
      </c>
      <c r="H112" s="3" vm="345">
        <v>155.72</v>
      </c>
      <c r="I112" s="5">
        <f ca="1">(USDJPY[[#This Row],[Price]]-OFFSET(USDJPY[[#This Row],[Price]],-1,0))/OFFSET(USDJPY[[#This Row],[Price]],-1,0)</f>
        <v>1.6724559372185185E-3</v>
      </c>
    </row>
    <row r="113" spans="4:9" x14ac:dyDescent="0.35">
      <c r="D113" vm="10">
        <f ca="1"/>
        <v>45512</v>
      </c>
      <c r="E113" vm="416">
        <f ca="1"/>
        <v>147.28</v>
      </c>
      <c r="G113" s="1" vm="199">
        <v>45425</v>
      </c>
      <c r="H113" s="3" vm="347">
        <v>156.19999999999999</v>
      </c>
      <c r="I113" s="5">
        <f ca="1">(USDJPY[[#This Row],[Price]]-OFFSET(USDJPY[[#This Row],[Price]],-1,0))/OFFSET(USDJPY[[#This Row],[Price]],-1,0)</f>
        <v>3.0824556896993948E-3</v>
      </c>
    </row>
    <row r="114" spans="4:9" x14ac:dyDescent="0.35">
      <c r="D114" vm="11">
        <f ca="1"/>
        <v>45513</v>
      </c>
      <c r="E114" vm="417">
        <f ca="1"/>
        <v>146.61000000000001</v>
      </c>
      <c r="G114" s="1" vm="200">
        <v>45426</v>
      </c>
      <c r="H114" s="3" vm="349">
        <v>156.41999999999999</v>
      </c>
      <c r="I114" s="5">
        <f ca="1">(USDJPY[[#This Row],[Price]]-OFFSET(USDJPY[[#This Row],[Price]],-1,0))/OFFSET(USDJPY[[#This Row],[Price]],-1,0)</f>
        <v>1.408450704225345E-3</v>
      </c>
    </row>
    <row r="115" spans="4:9" x14ac:dyDescent="0.35">
      <c r="D115" vm="12">
        <f ca="1"/>
        <v>45516</v>
      </c>
      <c r="E115" vm="418">
        <f ca="1"/>
        <v>147.19</v>
      </c>
      <c r="G115" s="1" vm="201">
        <v>45427</v>
      </c>
      <c r="H115" s="3" vm="351">
        <v>154.87</v>
      </c>
      <c r="I115" s="5">
        <f ca="1">(USDJPY[[#This Row],[Price]]-OFFSET(USDJPY[[#This Row],[Price]],-1,0))/OFFSET(USDJPY[[#This Row],[Price]],-1,0)</f>
        <v>-9.909218769978155E-3</v>
      </c>
    </row>
    <row r="116" spans="4:9" x14ac:dyDescent="0.35">
      <c r="D116" vm="13">
        <f ca="1"/>
        <v>45517</v>
      </c>
      <c r="E116" vm="419">
        <f ca="1"/>
        <v>146.82</v>
      </c>
      <c r="G116" s="1" vm="202">
        <v>45428</v>
      </c>
      <c r="H116" s="3" vm="353">
        <v>155.38</v>
      </c>
      <c r="I116" s="5">
        <f ca="1">(USDJPY[[#This Row],[Price]]-OFFSET(USDJPY[[#This Row],[Price]],-1,0))/OFFSET(USDJPY[[#This Row],[Price]],-1,0)</f>
        <v>3.2930845225026856E-3</v>
      </c>
    </row>
    <row r="117" spans="4:9" x14ac:dyDescent="0.35">
      <c r="D117" vm="14">
        <f ca="1"/>
        <v>45518</v>
      </c>
      <c r="E117" vm="420">
        <f ca="1"/>
        <v>147.31</v>
      </c>
      <c r="G117" s="1" vm="203">
        <v>45429</v>
      </c>
      <c r="H117" s="3" vm="323">
        <v>155.65</v>
      </c>
      <c r="I117" s="5">
        <f ca="1">(USDJPY[[#This Row],[Price]]-OFFSET(USDJPY[[#This Row],[Price]],-1,0))/OFFSET(USDJPY[[#This Row],[Price]],-1,0)</f>
        <v>1.7376753764963976E-3</v>
      </c>
    </row>
    <row r="118" spans="4:9" x14ac:dyDescent="0.35">
      <c r="D118" vm="15">
        <f ca="1"/>
        <v>45519</v>
      </c>
      <c r="E118" vm="421">
        <f ca="1"/>
        <v>149.27000000000001</v>
      </c>
      <c r="G118" s="1" vm="204">
        <v>45432</v>
      </c>
      <c r="H118" s="3" vm="356">
        <v>156.24</v>
      </c>
      <c r="I118" s="5">
        <f ca="1">(USDJPY[[#This Row],[Price]]-OFFSET(USDJPY[[#This Row],[Price]],-1,0))/OFFSET(USDJPY[[#This Row],[Price]],-1,0)</f>
        <v>3.7905557340186533E-3</v>
      </c>
    </row>
    <row r="119" spans="4:9" x14ac:dyDescent="0.35">
      <c r="D119" vm="16">
        <f ca="1"/>
        <v>45520</v>
      </c>
      <c r="E119" vm="422">
        <f ca="1"/>
        <v>147.58000000000001</v>
      </c>
      <c r="G119" s="1" vm="205">
        <v>45433</v>
      </c>
      <c r="H119" s="3" vm="358">
        <v>156.15</v>
      </c>
      <c r="I119" s="5">
        <f ca="1">(USDJPY[[#This Row],[Price]]-OFFSET(USDJPY[[#This Row],[Price]],-1,0))/OFFSET(USDJPY[[#This Row],[Price]],-1,0)</f>
        <v>-5.760368663594688E-4</v>
      </c>
    </row>
    <row r="120" spans="4:9" x14ac:dyDescent="0.35">
      <c r="D120" vm="17">
        <f ca="1"/>
        <v>45523</v>
      </c>
      <c r="E120" vm="423">
        <f ca="1"/>
        <v>146.57</v>
      </c>
      <c r="G120" s="1" vm="206">
        <v>45434</v>
      </c>
      <c r="H120" s="3" vm="360">
        <v>156.77000000000001</v>
      </c>
      <c r="I120" s="5">
        <f ca="1">(USDJPY[[#This Row],[Price]]-OFFSET(USDJPY[[#This Row],[Price]],-1,0))/OFFSET(USDJPY[[#This Row],[Price]],-1,0)</f>
        <v>3.9705411463336823E-3</v>
      </c>
    </row>
    <row r="121" spans="4:9" x14ac:dyDescent="0.35">
      <c r="D121" vm="18">
        <f ca="1"/>
        <v>45524</v>
      </c>
      <c r="E121" vm="424">
        <f ca="1"/>
        <v>145.25</v>
      </c>
      <c r="G121" s="1" vm="207">
        <v>45435</v>
      </c>
      <c r="H121" s="3" vm="362">
        <v>156.93</v>
      </c>
      <c r="I121" s="5">
        <f ca="1">(USDJPY[[#This Row],[Price]]-OFFSET(USDJPY[[#This Row],[Price]],-1,0))/OFFSET(USDJPY[[#This Row],[Price]],-1,0)</f>
        <v>1.0206034317790176E-3</v>
      </c>
    </row>
    <row r="122" spans="4:9" x14ac:dyDescent="0.35">
      <c r="D122" vm="19">
        <f ca="1"/>
        <v>45525</v>
      </c>
      <c r="E122" vm="425">
        <f ca="1"/>
        <v>145.26</v>
      </c>
      <c r="G122" s="1" vm="208">
        <v>45436</v>
      </c>
      <c r="H122" s="3" vm="364">
        <v>156.99</v>
      </c>
      <c r="I122" s="5">
        <f ca="1">(USDJPY[[#This Row],[Price]]-OFFSET(USDJPY[[#This Row],[Price]],-1,0))/OFFSET(USDJPY[[#This Row],[Price]],-1,0)</f>
        <v>3.8233607340854058E-4</v>
      </c>
    </row>
    <row r="123" spans="4:9" x14ac:dyDescent="0.35">
      <c r="D123" vm="20">
        <f ca="1"/>
        <v>45526</v>
      </c>
      <c r="E123" vm="426">
        <f ca="1"/>
        <v>146.26</v>
      </c>
      <c r="G123" s="1" vm="209">
        <v>45439</v>
      </c>
      <c r="H123" s="3" vm="365">
        <v>156.86000000000001</v>
      </c>
      <c r="I123" s="5">
        <f ca="1">(USDJPY[[#This Row],[Price]]-OFFSET(USDJPY[[#This Row],[Price]],-1,0))/OFFSET(USDJPY[[#This Row],[Price]],-1,0)</f>
        <v>-8.2807822154274443E-4</v>
      </c>
    </row>
    <row r="124" spans="4:9" x14ac:dyDescent="0.35">
      <c r="D124" vm="21">
        <f ca="1"/>
        <v>45527</v>
      </c>
      <c r="E124" vm="427">
        <f ca="1"/>
        <v>144.37</v>
      </c>
      <c r="G124" s="1" vm="210">
        <v>45440</v>
      </c>
      <c r="H124" s="3" vm="367">
        <v>157.16</v>
      </c>
      <c r="I124" s="5">
        <f ca="1">(USDJPY[[#This Row],[Price]]-OFFSET(USDJPY[[#This Row],[Price]],-1,0))/OFFSET(USDJPY[[#This Row],[Price]],-1,0)</f>
        <v>1.9125334693356046E-3</v>
      </c>
    </row>
    <row r="125" spans="4:9" x14ac:dyDescent="0.35">
      <c r="D125" vm="22">
        <f ca="1"/>
        <v>45530</v>
      </c>
      <c r="E125" vm="428">
        <f ca="1"/>
        <v>144.52000000000001</v>
      </c>
      <c r="G125" s="1" vm="211">
        <v>45441</v>
      </c>
      <c r="H125" s="3" vm="369">
        <v>157.6</v>
      </c>
      <c r="I125" s="5">
        <f ca="1">(USDJPY[[#This Row],[Price]]-OFFSET(USDJPY[[#This Row],[Price]],-1,0))/OFFSET(USDJPY[[#This Row],[Price]],-1,0)</f>
        <v>2.7996945787732105E-3</v>
      </c>
    </row>
    <row r="126" spans="4:9" x14ac:dyDescent="0.35">
      <c r="D126" vm="23">
        <f ca="1"/>
        <v>45531</v>
      </c>
      <c r="E126" vm="429">
        <f ca="1"/>
        <v>143.94999999999999</v>
      </c>
      <c r="G126" s="1" vm="212">
        <v>45442</v>
      </c>
      <c r="H126" s="3" vm="370">
        <v>156.81</v>
      </c>
      <c r="I126" s="5">
        <f ca="1">(USDJPY[[#This Row],[Price]]-OFFSET(USDJPY[[#This Row],[Price]],-1,0))/OFFSET(USDJPY[[#This Row],[Price]],-1,0)</f>
        <v>-5.0126903553298985E-3</v>
      </c>
    </row>
    <row r="127" spans="4:9" x14ac:dyDescent="0.35">
      <c r="D127" vm="24">
        <f ca="1"/>
        <v>45532</v>
      </c>
      <c r="E127" vm="430">
        <f ca="1"/>
        <v>144.57</v>
      </c>
      <c r="G127" s="1" vm="213">
        <v>45443</v>
      </c>
      <c r="H127" s="3" vm="371">
        <v>157.31</v>
      </c>
      <c r="I127" s="5">
        <f ca="1">(USDJPY[[#This Row],[Price]]-OFFSET(USDJPY[[#This Row],[Price]],-1,0))/OFFSET(USDJPY[[#This Row],[Price]],-1,0)</f>
        <v>3.1885721573879215E-3</v>
      </c>
    </row>
    <row r="128" spans="4:9" x14ac:dyDescent="0.35">
      <c r="D128" vm="25">
        <f ca="1"/>
        <v>45533</v>
      </c>
      <c r="E128" vm="431">
        <f ca="1"/>
        <v>144.97999999999999</v>
      </c>
      <c r="G128" s="1" vm="214">
        <v>45446</v>
      </c>
      <c r="H128" s="3" vm="373">
        <v>156.1</v>
      </c>
      <c r="I128" s="5">
        <f ca="1">(USDJPY[[#This Row],[Price]]-OFFSET(USDJPY[[#This Row],[Price]],-1,0))/OFFSET(USDJPY[[#This Row],[Price]],-1,0)</f>
        <v>-7.6918187019261834E-3</v>
      </c>
    </row>
    <row r="129" spans="4:9" x14ac:dyDescent="0.35">
      <c r="D129" vm="26">
        <f ca="1"/>
        <v>45534</v>
      </c>
      <c r="E129" vm="258">
        <f ca="1"/>
        <v>146.16</v>
      </c>
      <c r="G129" s="1" vm="215">
        <v>45447</v>
      </c>
      <c r="H129" s="3" vm="351">
        <v>154.87</v>
      </c>
      <c r="I129" s="5">
        <f ca="1">(USDJPY[[#This Row],[Price]]-OFFSET(USDJPY[[#This Row],[Price]],-1,0))/OFFSET(USDJPY[[#This Row],[Price]],-1,0)</f>
        <v>-7.8795643818064687E-3</v>
      </c>
    </row>
    <row r="130" spans="4:9" x14ac:dyDescent="0.35">
      <c r="D130" vm="27">
        <f ca="1"/>
        <v>45537</v>
      </c>
      <c r="E130" vm="432">
        <f ca="1"/>
        <v>146.9</v>
      </c>
      <c r="G130" s="1" vm="216">
        <v>45448</v>
      </c>
      <c r="H130" s="3" vm="373">
        <v>156.1</v>
      </c>
      <c r="I130" s="5">
        <f ca="1">(USDJPY[[#This Row],[Price]]-OFFSET(USDJPY[[#This Row],[Price]],-1,0))/OFFSET(USDJPY[[#This Row],[Price]],-1,0)</f>
        <v>7.9421450248594941E-3</v>
      </c>
    </row>
    <row r="131" spans="4:9" x14ac:dyDescent="0.35">
      <c r="D131" vm="28">
        <f ca="1"/>
        <v>45538</v>
      </c>
      <c r="E131" vm="433">
        <f ca="1"/>
        <v>145.47</v>
      </c>
      <c r="G131" s="1" vm="217">
        <v>45449</v>
      </c>
      <c r="H131" s="3" vm="374">
        <v>155.6</v>
      </c>
      <c r="I131" s="5">
        <f ca="1">(USDJPY[[#This Row],[Price]]-OFFSET(USDJPY[[#This Row],[Price]],-1,0))/OFFSET(USDJPY[[#This Row],[Price]],-1,0)</f>
        <v>-3.2030749519538757E-3</v>
      </c>
    </row>
    <row r="132" spans="4:9" x14ac:dyDescent="0.35">
      <c r="D132" vm="29">
        <f ca="1"/>
        <v>45539</v>
      </c>
      <c r="E132" vm="434">
        <f ca="1"/>
        <v>143.72999999999999</v>
      </c>
      <c r="G132" s="1" vm="218">
        <v>45450</v>
      </c>
      <c r="H132" s="3" vm="375">
        <v>156.69999999999999</v>
      </c>
      <c r="I132" s="5">
        <f ca="1">(USDJPY[[#This Row],[Price]]-OFFSET(USDJPY[[#This Row],[Price]],-1,0))/OFFSET(USDJPY[[#This Row],[Price]],-1,0)</f>
        <v>7.0694087403598612E-3</v>
      </c>
    </row>
    <row r="133" spans="4:9" x14ac:dyDescent="0.35">
      <c r="D133" vm="30">
        <f ca="1"/>
        <v>45540</v>
      </c>
      <c r="E133" vm="435">
        <f ca="1"/>
        <v>143.44</v>
      </c>
      <c r="G133" s="1" vm="219">
        <v>45453</v>
      </c>
      <c r="H133" s="3" vm="376">
        <v>157.02000000000001</v>
      </c>
      <c r="I133" s="5">
        <f ca="1">(USDJPY[[#This Row],[Price]]-OFFSET(USDJPY[[#This Row],[Price]],-1,0))/OFFSET(USDJPY[[#This Row],[Price]],-1,0)</f>
        <v>2.0421186981494678E-3</v>
      </c>
    </row>
    <row r="134" spans="4:9" x14ac:dyDescent="0.35">
      <c r="D134" vm="31">
        <f ca="1"/>
        <v>45541</v>
      </c>
      <c r="E134" vm="436">
        <f ca="1"/>
        <v>142.27000000000001</v>
      </c>
      <c r="G134" s="1" vm="220">
        <v>45454</v>
      </c>
      <c r="H134" s="3" vm="377">
        <v>157.07</v>
      </c>
      <c r="I134" s="5">
        <f ca="1">(USDJPY[[#This Row],[Price]]-OFFSET(USDJPY[[#This Row],[Price]],-1,0))/OFFSET(USDJPY[[#This Row],[Price]],-1,0)</f>
        <v>3.1843077314980858E-4</v>
      </c>
    </row>
    <row r="135" spans="4:9" x14ac:dyDescent="0.35">
      <c r="D135" vm="32">
        <f ca="1"/>
        <v>45544</v>
      </c>
      <c r="E135" vm="437">
        <f ca="1"/>
        <v>143.16999999999999</v>
      </c>
      <c r="G135" s="1" vm="221">
        <v>45455</v>
      </c>
      <c r="H135" s="3" vm="378">
        <v>156.71</v>
      </c>
      <c r="I135" s="5">
        <f ca="1">(USDJPY[[#This Row],[Price]]-OFFSET(USDJPY[[#This Row],[Price]],-1,0))/OFFSET(USDJPY[[#This Row],[Price]],-1,0)</f>
        <v>-2.2919717323485402E-3</v>
      </c>
    </row>
    <row r="136" spans="4:9" x14ac:dyDescent="0.35">
      <c r="D136" vm="33">
        <f ca="1"/>
        <v>45545</v>
      </c>
      <c r="E136" vm="438">
        <f ca="1"/>
        <v>142.43</v>
      </c>
      <c r="G136" s="1" vm="222">
        <v>45456</v>
      </c>
      <c r="H136" s="3" vm="376">
        <v>157.02000000000001</v>
      </c>
      <c r="I136" s="5">
        <f ca="1">(USDJPY[[#This Row],[Price]]-OFFSET(USDJPY[[#This Row],[Price]],-1,0))/OFFSET(USDJPY[[#This Row],[Price]],-1,0)</f>
        <v>1.9781762491225974E-3</v>
      </c>
    </row>
    <row r="137" spans="4:9" x14ac:dyDescent="0.35">
      <c r="D137" vm="34">
        <f ca="1"/>
        <v>45546</v>
      </c>
      <c r="E137" vm="439">
        <f ca="1"/>
        <v>142.35</v>
      </c>
      <c r="G137" s="1" vm="223">
        <v>45457</v>
      </c>
      <c r="H137" s="3" vm="379">
        <v>157.37</v>
      </c>
      <c r="I137" s="5">
        <f ca="1">(USDJPY[[#This Row],[Price]]-OFFSET(USDJPY[[#This Row],[Price]],-1,0))/OFFSET(USDJPY[[#This Row],[Price]],-1,0)</f>
        <v>2.2290154120493842E-3</v>
      </c>
    </row>
    <row r="138" spans="4:9" x14ac:dyDescent="0.35">
      <c r="D138" vm="35">
        <f ca="1"/>
        <v>45547</v>
      </c>
      <c r="E138" vm="440">
        <f ca="1"/>
        <v>141.79</v>
      </c>
      <c r="G138" s="1" vm="224">
        <v>45460</v>
      </c>
      <c r="H138" s="3" vm="380">
        <v>157.71</v>
      </c>
      <c r="I138" s="5">
        <f ca="1">(USDJPY[[#This Row],[Price]]-OFFSET(USDJPY[[#This Row],[Price]],-1,0))/OFFSET(USDJPY[[#This Row],[Price]],-1,0)</f>
        <v>2.1605134396645064E-3</v>
      </c>
    </row>
    <row r="139" spans="4:9" x14ac:dyDescent="0.35">
      <c r="D139" vm="36">
        <f ca="1"/>
        <v>45548</v>
      </c>
      <c r="E139" vm="441">
        <f ca="1"/>
        <v>140.82</v>
      </c>
      <c r="G139" s="1" vm="225">
        <v>45461</v>
      </c>
      <c r="H139" s="3" vm="381">
        <v>157.85</v>
      </c>
      <c r="I139" s="5">
        <f ca="1">(USDJPY[[#This Row],[Price]]-OFFSET(USDJPY[[#This Row],[Price]],-1,0))/OFFSET(USDJPY[[#This Row],[Price]],-1,0)</f>
        <v>8.8770528184634045E-4</v>
      </c>
    </row>
    <row r="140" spans="4:9" x14ac:dyDescent="0.35">
      <c r="D140" vm="37">
        <f ca="1"/>
        <v>45551</v>
      </c>
      <c r="E140" vm="442">
        <f ca="1"/>
        <v>140.6</v>
      </c>
      <c r="G140" s="1" vm="226">
        <v>45462</v>
      </c>
      <c r="H140" s="3" vm="382">
        <v>158.08000000000001</v>
      </c>
      <c r="I140" s="5">
        <f ca="1">(USDJPY[[#This Row],[Price]]-OFFSET(USDJPY[[#This Row],[Price]],-1,0))/OFFSET(USDJPY[[#This Row],[Price]],-1,0)</f>
        <v>1.457079505860109E-3</v>
      </c>
    </row>
    <row r="141" spans="4:9" x14ac:dyDescent="0.35">
      <c r="D141" vm="38">
        <f ca="1"/>
        <v>45552</v>
      </c>
      <c r="E141" vm="443">
        <f ca="1"/>
        <v>142.4</v>
      </c>
      <c r="G141" s="1" vm="227">
        <v>45463</v>
      </c>
      <c r="H141" s="3" vm="383">
        <v>158.9</v>
      </c>
      <c r="I141" s="5">
        <f ca="1">(USDJPY[[#This Row],[Price]]-OFFSET(USDJPY[[#This Row],[Price]],-1,0))/OFFSET(USDJPY[[#This Row],[Price]],-1,0)</f>
        <v>5.1872469635627092E-3</v>
      </c>
    </row>
    <row r="142" spans="4:9" x14ac:dyDescent="0.35">
      <c r="D142" vm="39">
        <f ca="1"/>
        <v>45553</v>
      </c>
      <c r="E142" vm="436">
        <f ca="1"/>
        <v>142.27000000000001</v>
      </c>
      <c r="G142" s="1" vm="228">
        <v>45464</v>
      </c>
      <c r="H142" s="3" vm="384">
        <v>159.79</v>
      </c>
      <c r="I142" s="5">
        <f ca="1">(USDJPY[[#This Row],[Price]]-OFFSET(USDJPY[[#This Row],[Price]],-1,0))/OFFSET(USDJPY[[#This Row],[Price]],-1,0)</f>
        <v>5.6010069225927396E-3</v>
      </c>
    </row>
    <row r="143" spans="4:9" x14ac:dyDescent="0.35">
      <c r="D143" vm="40">
        <f ca="1"/>
        <v>45554</v>
      </c>
      <c r="E143" vm="444">
        <f ca="1"/>
        <v>142.62</v>
      </c>
      <c r="G143" s="1" vm="229">
        <v>45467</v>
      </c>
      <c r="H143" s="3" vm="385">
        <v>159.59</v>
      </c>
      <c r="I143" s="5">
        <f ca="1">(USDJPY[[#This Row],[Price]]-OFFSET(USDJPY[[#This Row],[Price]],-1,0))/OFFSET(USDJPY[[#This Row],[Price]],-1,0)</f>
        <v>-1.2516427811501887E-3</v>
      </c>
    </row>
    <row r="144" spans="4:9" x14ac:dyDescent="0.35">
      <c r="D144" vm="41">
        <f ca="1"/>
        <v>45555</v>
      </c>
      <c r="E144" vm="445">
        <f ca="1"/>
        <v>143.91</v>
      </c>
      <c r="G144" s="1" vm="230">
        <v>45468</v>
      </c>
      <c r="H144" s="3" vm="386">
        <v>159.69</v>
      </c>
      <c r="I144" s="5">
        <f ca="1">(USDJPY[[#This Row],[Price]]-OFFSET(USDJPY[[#This Row],[Price]],-1,0))/OFFSET(USDJPY[[#This Row],[Price]],-1,0)</f>
        <v>6.2660567704739842E-4</v>
      </c>
    </row>
    <row r="145" spans="4:9" x14ac:dyDescent="0.35">
      <c r="D145" vm="42">
        <f ca="1"/>
        <v>45558</v>
      </c>
      <c r="E145" vm="446">
        <f ca="1"/>
        <v>143.6</v>
      </c>
      <c r="G145" s="1" vm="231">
        <v>45469</v>
      </c>
      <c r="H145" s="3" vm="387">
        <v>160.79</v>
      </c>
      <c r="I145" s="5">
        <f ca="1">(USDJPY[[#This Row],[Price]]-OFFSET(USDJPY[[#This Row],[Price]],-1,0))/OFFSET(USDJPY[[#This Row],[Price]],-1,0)</f>
        <v>6.8883461707057066E-3</v>
      </c>
    </row>
    <row r="146" spans="4:9" x14ac:dyDescent="0.35">
      <c r="D146" vm="43">
        <f ca="1"/>
        <v>45559</v>
      </c>
      <c r="E146" vm="447">
        <f ca="1"/>
        <v>143.21</v>
      </c>
      <c r="G146" s="1" vm="232">
        <v>45470</v>
      </c>
      <c r="H146" s="3" vm="388">
        <v>160.74</v>
      </c>
      <c r="I146" s="5">
        <f ca="1">(USDJPY[[#This Row],[Price]]-OFFSET(USDJPY[[#This Row],[Price]],-1,0))/OFFSET(USDJPY[[#This Row],[Price]],-1,0)</f>
        <v>-3.109646122270225E-4</v>
      </c>
    </row>
    <row r="147" spans="4:9" x14ac:dyDescent="0.35">
      <c r="D147" vm="44">
        <f ca="1"/>
        <v>45560</v>
      </c>
      <c r="E147" vm="448">
        <f ca="1"/>
        <v>144.75</v>
      </c>
      <c r="G147" s="1" vm="233">
        <v>45471</v>
      </c>
      <c r="H147" s="3" vm="389">
        <v>160.83000000000001</v>
      </c>
      <c r="I147" s="5">
        <f ca="1">(USDJPY[[#This Row],[Price]]-OFFSET(USDJPY[[#This Row],[Price]],-1,0))/OFFSET(USDJPY[[#This Row],[Price]],-1,0)</f>
        <v>5.5991041433372775E-4</v>
      </c>
    </row>
    <row r="148" spans="4:9" x14ac:dyDescent="0.35">
      <c r="D148" vm="45">
        <f ca="1"/>
        <v>45561</v>
      </c>
      <c r="E148" vm="449">
        <f ca="1"/>
        <v>144.80000000000001</v>
      </c>
      <c r="G148" s="1" vm="234">
        <v>45474</v>
      </c>
      <c r="H148" s="3" vm="390">
        <v>161.44999999999999</v>
      </c>
      <c r="I148" s="5">
        <f ca="1">(USDJPY[[#This Row],[Price]]-OFFSET(USDJPY[[#This Row],[Price]],-1,0))/OFFSET(USDJPY[[#This Row],[Price]],-1,0)</f>
        <v>3.8550021762107571E-3</v>
      </c>
    </row>
    <row r="149" spans="4:9" x14ac:dyDescent="0.35">
      <c r="D149" vm="46">
        <f ca="1"/>
        <v>45562</v>
      </c>
      <c r="E149" vm="450">
        <f ca="1"/>
        <v>142.19</v>
      </c>
      <c r="G149" s="1" vm="235">
        <v>45475</v>
      </c>
      <c r="H149" s="3" vm="391">
        <v>161.44</v>
      </c>
      <c r="I149" s="5">
        <f ca="1">(USDJPY[[#This Row],[Price]]-OFFSET(USDJPY[[#This Row],[Price]],-1,0))/OFFSET(USDJPY[[#This Row],[Price]],-1,0)</f>
        <v>-6.1938680706044634E-5</v>
      </c>
    </row>
    <row r="150" spans="4:9" x14ac:dyDescent="0.35">
      <c r="D150" vm="47">
        <f ca="1"/>
        <v>45565</v>
      </c>
      <c r="E150" vm="451">
        <f ca="1"/>
        <v>143.62</v>
      </c>
      <c r="G150" s="1" vm="236">
        <v>45476</v>
      </c>
      <c r="H150" s="3" vm="392">
        <v>161.68</v>
      </c>
      <c r="I150" s="5">
        <f ca="1">(USDJPY[[#This Row],[Price]]-OFFSET(USDJPY[[#This Row],[Price]],-1,0))/OFFSET(USDJPY[[#This Row],[Price]],-1,0)</f>
        <v>1.4866204162537729E-3</v>
      </c>
    </row>
    <row r="151" spans="4:9" x14ac:dyDescent="0.35">
      <c r="D151" vm="48">
        <f ca="1"/>
        <v>45566</v>
      </c>
      <c r="E151" vm="273">
        <f ca="1"/>
        <v>143.56</v>
      </c>
      <c r="G151" s="1" vm="237">
        <v>45477</v>
      </c>
      <c r="H151" s="3" vm="393">
        <v>161.25</v>
      </c>
      <c r="I151" s="5">
        <f ca="1">(USDJPY[[#This Row],[Price]]-OFFSET(USDJPY[[#This Row],[Price]],-1,0))/OFFSET(USDJPY[[#This Row],[Price]],-1,0)</f>
        <v>-2.6595744680851484E-3</v>
      </c>
    </row>
    <row r="152" spans="4:9" x14ac:dyDescent="0.35">
      <c r="D152" vm="49">
        <f ca="1"/>
        <v>45567</v>
      </c>
      <c r="E152" vm="452">
        <f ca="1"/>
        <v>146.46</v>
      </c>
      <c r="G152" s="1" vm="238">
        <v>45478</v>
      </c>
      <c r="H152" s="3" vm="394">
        <v>160.72</v>
      </c>
      <c r="I152" s="5">
        <f ca="1">(USDJPY[[#This Row],[Price]]-OFFSET(USDJPY[[#This Row],[Price]],-1,0))/OFFSET(USDJPY[[#This Row],[Price]],-1,0)</f>
        <v>-3.2868217054263637E-3</v>
      </c>
    </row>
    <row r="153" spans="4:9" x14ac:dyDescent="0.35">
      <c r="D153" vm="50">
        <f ca="1"/>
        <v>45568</v>
      </c>
      <c r="E153" vm="453">
        <f ca="1"/>
        <v>146.91999999999999</v>
      </c>
      <c r="G153" s="1" vm="239">
        <v>45481</v>
      </c>
      <c r="H153" s="3" vm="395">
        <v>160.81</v>
      </c>
      <c r="I153" s="5">
        <f ca="1">(USDJPY[[#This Row],[Price]]-OFFSET(USDJPY[[#This Row],[Price]],-1,0))/OFFSET(USDJPY[[#This Row],[Price]],-1,0)</f>
        <v>5.5998008959683555E-4</v>
      </c>
    </row>
    <row r="154" spans="4:9" x14ac:dyDescent="0.35">
      <c r="D154" vm="51">
        <f ca="1"/>
        <v>45569</v>
      </c>
      <c r="E154" vm="454">
        <f ca="1"/>
        <v>148.71</v>
      </c>
      <c r="G154" s="1" vm="240">
        <v>45482</v>
      </c>
      <c r="H154" s="3" vm="396">
        <v>161.31</v>
      </c>
      <c r="I154" s="5">
        <f ca="1">(USDJPY[[#This Row],[Price]]-OFFSET(USDJPY[[#This Row],[Price]],-1,0))/OFFSET(USDJPY[[#This Row],[Price]],-1,0)</f>
        <v>3.109259374417014E-3</v>
      </c>
    </row>
    <row r="155" spans="4:9" x14ac:dyDescent="0.35">
      <c r="D155" vm="52">
        <f ca="1"/>
        <v>45572</v>
      </c>
      <c r="E155" vm="338">
        <f ca="1"/>
        <v>148.18</v>
      </c>
      <c r="G155" s="1" vm="241">
        <v>45483</v>
      </c>
      <c r="H155" s="3" vm="397">
        <v>161.66999999999999</v>
      </c>
      <c r="I155" s="5">
        <f ca="1">(USDJPY[[#This Row],[Price]]-OFFSET(USDJPY[[#This Row],[Price]],-1,0))/OFFSET(USDJPY[[#This Row],[Price]],-1,0)</f>
        <v>2.231727729216944E-3</v>
      </c>
    </row>
    <row r="156" spans="4:9" x14ac:dyDescent="0.35">
      <c r="D156" vm="53">
        <f ca="1"/>
        <v>45573</v>
      </c>
      <c r="E156" vm="455">
        <f ca="1"/>
        <v>148.19</v>
      </c>
      <c r="G156" s="1" vm="242">
        <v>45484</v>
      </c>
      <c r="H156" s="3" vm="398">
        <v>158.80000000000001</v>
      </c>
      <c r="I156" s="5">
        <f ca="1">(USDJPY[[#This Row],[Price]]-OFFSET(USDJPY[[#This Row],[Price]],-1,0))/OFFSET(USDJPY[[#This Row],[Price]],-1,0)</f>
        <v>-1.7752211294612335E-2</v>
      </c>
    </row>
    <row r="157" spans="4:9" x14ac:dyDescent="0.35">
      <c r="D157" vm="54">
        <f ca="1"/>
        <v>45574</v>
      </c>
      <c r="E157" vm="456">
        <f ca="1"/>
        <v>149.29</v>
      </c>
      <c r="G157" s="1" vm="243">
        <v>45485</v>
      </c>
      <c r="H157" s="3" vm="399">
        <v>157.88999999999999</v>
      </c>
      <c r="I157" s="5">
        <f ca="1">(USDJPY[[#This Row],[Price]]-OFFSET(USDJPY[[#This Row],[Price]],-1,0))/OFFSET(USDJPY[[#This Row],[Price]],-1,0)</f>
        <v>-5.7304785894208123E-3</v>
      </c>
    </row>
    <row r="158" spans="4:9" x14ac:dyDescent="0.35">
      <c r="D158" vm="55">
        <f ca="1"/>
        <v>45575</v>
      </c>
      <c r="E158" vm="457">
        <f ca="1"/>
        <v>148.56</v>
      </c>
      <c r="G158" s="1" vm="244">
        <v>45488</v>
      </c>
      <c r="H158" s="3" vm="400">
        <v>158.01</v>
      </c>
      <c r="I158" s="5">
        <f ca="1">(USDJPY[[#This Row],[Price]]-OFFSET(USDJPY[[#This Row],[Price]],-1,0))/OFFSET(USDJPY[[#This Row],[Price]],-1,0)</f>
        <v>7.600228006840494E-4</v>
      </c>
    </row>
    <row r="159" spans="4:9" x14ac:dyDescent="0.35">
      <c r="D159" vm="56">
        <f ca="1"/>
        <v>45576</v>
      </c>
      <c r="E159" vm="458">
        <f ca="1"/>
        <v>149.13</v>
      </c>
      <c r="G159" s="1" vm="245">
        <v>45489</v>
      </c>
      <c r="H159" s="3" vm="401">
        <v>158.34</v>
      </c>
      <c r="I159" s="5">
        <f ca="1">(USDJPY[[#This Row],[Price]]-OFFSET(USDJPY[[#This Row],[Price]],-1,0))/OFFSET(USDJPY[[#This Row],[Price]],-1,0)</f>
        <v>2.0884754129486269E-3</v>
      </c>
    </row>
    <row r="160" spans="4:9" x14ac:dyDescent="0.35">
      <c r="D160" vm="57">
        <f ca="1"/>
        <v>45579</v>
      </c>
      <c r="E160" vm="459">
        <f ca="1"/>
        <v>149.75</v>
      </c>
      <c r="G160" s="1" vm="246">
        <v>45490</v>
      </c>
      <c r="H160" s="3" vm="402">
        <v>156.16</v>
      </c>
      <c r="I160" s="5">
        <f ca="1">(USDJPY[[#This Row],[Price]]-OFFSET(USDJPY[[#This Row],[Price]],-1,0))/OFFSET(USDJPY[[#This Row],[Price]],-1,0)</f>
        <v>-1.3767841354048294E-2</v>
      </c>
    </row>
    <row r="161" spans="4:9" x14ac:dyDescent="0.35">
      <c r="D161" vm="58">
        <f ca="1"/>
        <v>45580</v>
      </c>
      <c r="E161" vm="460">
        <f ca="1"/>
        <v>149.19</v>
      </c>
      <c r="G161" s="1" vm="247">
        <v>45491</v>
      </c>
      <c r="H161" s="3" vm="379">
        <v>157.37</v>
      </c>
      <c r="I161" s="5">
        <f ca="1">(USDJPY[[#This Row],[Price]]-OFFSET(USDJPY[[#This Row],[Price]],-1,0))/OFFSET(USDJPY[[#This Row],[Price]],-1,0)</f>
        <v>7.7484631147541495E-3</v>
      </c>
    </row>
    <row r="162" spans="4:9" x14ac:dyDescent="0.35">
      <c r="D162" vm="59">
        <f ca="1"/>
        <v>45581</v>
      </c>
      <c r="E162" vm="461">
        <f ca="1"/>
        <v>149.62</v>
      </c>
      <c r="G162" s="1" vm="248">
        <v>45492</v>
      </c>
      <c r="H162" s="3" vm="403">
        <v>157.49</v>
      </c>
      <c r="I162" s="5">
        <f ca="1">(USDJPY[[#This Row],[Price]]-OFFSET(USDJPY[[#This Row],[Price]],-1,0))/OFFSET(USDJPY[[#This Row],[Price]],-1,0)</f>
        <v>7.625341551757294E-4</v>
      </c>
    </row>
    <row r="163" spans="4:9" x14ac:dyDescent="0.35">
      <c r="D163" vm="60">
        <f ca="1"/>
        <v>45582</v>
      </c>
      <c r="E163" vm="462">
        <f ca="1"/>
        <v>150.19999999999999</v>
      </c>
      <c r="G163" s="1" vm="249">
        <v>45495</v>
      </c>
      <c r="H163" s="3" vm="404">
        <v>157</v>
      </c>
      <c r="I163" s="5">
        <f ca="1">(USDJPY[[#This Row],[Price]]-OFFSET(USDJPY[[#This Row],[Price]],-1,0))/OFFSET(USDJPY[[#This Row],[Price]],-1,0)</f>
        <v>-3.1113086545178047E-3</v>
      </c>
    </row>
    <row r="164" spans="4:9" x14ac:dyDescent="0.35">
      <c r="D164" vm="61">
        <f ca="1"/>
        <v>45583</v>
      </c>
      <c r="E164" vm="463">
        <f ca="1"/>
        <v>149.52000000000001</v>
      </c>
      <c r="G164" s="1" vm="250">
        <v>45496</v>
      </c>
      <c r="H164" s="3" vm="405">
        <v>155.58000000000001</v>
      </c>
      <c r="I164" s="5">
        <f ca="1">(USDJPY[[#This Row],[Price]]-OFFSET(USDJPY[[#This Row],[Price]],-1,0))/OFFSET(USDJPY[[#This Row],[Price]],-1,0)</f>
        <v>-9.0445859872610671E-3</v>
      </c>
    </row>
    <row r="165" spans="4:9" x14ac:dyDescent="0.35">
      <c r="D165" vm="62">
        <f ca="1"/>
        <v>45586</v>
      </c>
      <c r="E165" vm="464">
        <f ca="1"/>
        <v>150.83000000000001</v>
      </c>
      <c r="G165" s="1" vm="251">
        <v>45497</v>
      </c>
      <c r="H165" s="3" vm="406">
        <v>153.87</v>
      </c>
      <c r="I165" s="5">
        <f ca="1">(USDJPY[[#This Row],[Price]]-OFFSET(USDJPY[[#This Row],[Price]],-1,0))/OFFSET(USDJPY[[#This Row],[Price]],-1,0)</f>
        <v>-1.0991129965291219E-2</v>
      </c>
    </row>
    <row r="166" spans="4:9" x14ac:dyDescent="0.35">
      <c r="D166" vm="63">
        <f ca="1"/>
        <v>45587</v>
      </c>
      <c r="E166" vm="465">
        <f ca="1"/>
        <v>151.06</v>
      </c>
      <c r="G166" s="1" vm="252">
        <v>45498</v>
      </c>
      <c r="H166" s="3" vm="407">
        <v>153.93</v>
      </c>
      <c r="I166" s="5">
        <f ca="1">(USDJPY[[#This Row],[Price]]-OFFSET(USDJPY[[#This Row],[Price]],-1,0))/OFFSET(USDJPY[[#This Row],[Price]],-1,0)</f>
        <v>3.8993955936831269E-4</v>
      </c>
    </row>
    <row r="167" spans="4:9" x14ac:dyDescent="0.35">
      <c r="D167" vm="64">
        <f ca="1"/>
        <v>45588</v>
      </c>
      <c r="E167" vm="466">
        <f ca="1"/>
        <v>152.75</v>
      </c>
      <c r="G167" s="1" vm="1">
        <v>45499</v>
      </c>
      <c r="H167" s="3" vm="408">
        <v>153.72</v>
      </c>
      <c r="I167" s="5">
        <f ca="1">(USDJPY[[#This Row],[Price]]-OFFSET(USDJPY[[#This Row],[Price]],-1,0))/OFFSET(USDJPY[[#This Row],[Price]],-1,0)</f>
        <v>-1.3642564802183327E-3</v>
      </c>
    </row>
    <row r="168" spans="4:9" x14ac:dyDescent="0.35">
      <c r="D168" vm="65">
        <f ca="1"/>
        <v>45589</v>
      </c>
      <c r="E168" vm="467">
        <f ca="1"/>
        <v>151.82</v>
      </c>
      <c r="G168" s="1" vm="2">
        <v>45502</v>
      </c>
      <c r="H168" s="3" vm="409">
        <v>154.01</v>
      </c>
      <c r="I168" s="5">
        <f ca="1">(USDJPY[[#This Row],[Price]]-OFFSET(USDJPY[[#This Row],[Price]],-1,0))/OFFSET(USDJPY[[#This Row],[Price]],-1,0)</f>
        <v>1.8865469685141298E-3</v>
      </c>
    </row>
    <row r="169" spans="4:9" x14ac:dyDescent="0.35">
      <c r="D169" vm="66">
        <f ca="1"/>
        <v>45590</v>
      </c>
      <c r="E169" vm="468">
        <f ca="1"/>
        <v>152.30000000000001</v>
      </c>
      <c r="G169" s="1" vm="3">
        <v>45503</v>
      </c>
      <c r="H169" s="3" vm="410">
        <v>152.76</v>
      </c>
      <c r="I169" s="5">
        <f ca="1">(USDJPY[[#This Row],[Price]]-OFFSET(USDJPY[[#This Row],[Price]],-1,0))/OFFSET(USDJPY[[#This Row],[Price]],-1,0)</f>
        <v>-8.116356080773976E-3</v>
      </c>
    </row>
    <row r="170" spans="4:9" x14ac:dyDescent="0.35">
      <c r="D170" vm="67">
        <f ca="1"/>
        <v>45593</v>
      </c>
      <c r="E170" vm="307">
        <f ca="1"/>
        <v>153.28</v>
      </c>
      <c r="G170" s="1" vm="4">
        <v>45504</v>
      </c>
      <c r="H170" s="3" vm="368">
        <v>149.97999999999999</v>
      </c>
      <c r="I170" s="5">
        <f ca="1">(USDJPY[[#This Row],[Price]]-OFFSET(USDJPY[[#This Row],[Price]],-1,0))/OFFSET(USDJPY[[#This Row],[Price]],-1,0)</f>
        <v>-1.8198481277821428E-2</v>
      </c>
    </row>
    <row r="171" spans="4:9" x14ac:dyDescent="0.35">
      <c r="D171" vm="68">
        <f ca="1"/>
        <v>45594</v>
      </c>
      <c r="E171" vm="469">
        <f ca="1"/>
        <v>153.35</v>
      </c>
      <c r="G171" s="1" vm="5">
        <v>45505</v>
      </c>
      <c r="H171" s="3" vm="411">
        <v>149.36000000000001</v>
      </c>
      <c r="I171" s="5">
        <f ca="1">(USDJPY[[#This Row],[Price]]-OFFSET(USDJPY[[#This Row],[Price]],-1,0))/OFFSET(USDJPY[[#This Row],[Price]],-1,0)</f>
        <v>-4.133884517935566E-3</v>
      </c>
    </row>
    <row r="172" spans="4:9" x14ac:dyDescent="0.35">
      <c r="D172" vm="69">
        <f ca="1"/>
        <v>45595</v>
      </c>
      <c r="E172" vm="470">
        <f ca="1"/>
        <v>153.41</v>
      </c>
      <c r="G172" s="1" vm="6">
        <v>45506</v>
      </c>
      <c r="H172" s="3" vm="412">
        <v>146.54</v>
      </c>
      <c r="I172" s="5">
        <f ca="1">(USDJPY[[#This Row],[Price]]-OFFSET(USDJPY[[#This Row],[Price]],-1,0))/OFFSET(USDJPY[[#This Row],[Price]],-1,0)</f>
        <v>-1.8880557043385253E-2</v>
      </c>
    </row>
    <row r="173" spans="4:9" x14ac:dyDescent="0.35">
      <c r="D173" vm="70">
        <f ca="1"/>
        <v>45596</v>
      </c>
      <c r="E173" vm="471">
        <f ca="1"/>
        <v>152.03</v>
      </c>
      <c r="G173" s="1" vm="7">
        <v>45509</v>
      </c>
      <c r="H173" s="3" vm="413">
        <v>144.16999999999999</v>
      </c>
      <c r="I173" s="5">
        <f ca="1">(USDJPY[[#This Row],[Price]]-OFFSET(USDJPY[[#This Row],[Price]],-1,0))/OFFSET(USDJPY[[#This Row],[Price]],-1,0)</f>
        <v>-1.617305855056643E-2</v>
      </c>
    </row>
    <row r="174" spans="4:9" x14ac:dyDescent="0.35">
      <c r="D174" vm="71">
        <f ca="1"/>
        <v>45597</v>
      </c>
      <c r="E174" vm="335">
        <f ca="1"/>
        <v>152.97999999999999</v>
      </c>
      <c r="G174" s="1" vm="8">
        <v>45510</v>
      </c>
      <c r="H174" s="3" vm="414">
        <v>144.30000000000001</v>
      </c>
      <c r="I174" s="5">
        <f ca="1">(USDJPY[[#This Row],[Price]]-OFFSET(USDJPY[[#This Row],[Price]],-1,0))/OFFSET(USDJPY[[#This Row],[Price]],-1,0)</f>
        <v>9.0171325518501684E-4</v>
      </c>
    </row>
    <row r="175" spans="4:9" x14ac:dyDescent="0.35">
      <c r="D175" vm="72">
        <f ca="1"/>
        <v>45600</v>
      </c>
      <c r="E175" vm="472">
        <f ca="1"/>
        <v>152.13</v>
      </c>
      <c r="G175" s="1" vm="9">
        <v>45511</v>
      </c>
      <c r="H175" s="3" vm="415">
        <v>146.69</v>
      </c>
      <c r="I175" s="5">
        <f ca="1">(USDJPY[[#This Row],[Price]]-OFFSET(USDJPY[[#This Row],[Price]],-1,0))/OFFSET(USDJPY[[#This Row],[Price]],-1,0)</f>
        <v>1.6562716562716465E-2</v>
      </c>
    </row>
    <row r="176" spans="4:9" x14ac:dyDescent="0.35">
      <c r="D176" vm="73">
        <f ca="1"/>
        <v>45601</v>
      </c>
      <c r="E176" vm="473">
        <f ca="1"/>
        <v>151.6</v>
      </c>
      <c r="G176" s="1" vm="10">
        <v>45512</v>
      </c>
      <c r="H176" s="3" vm="416">
        <v>147.28</v>
      </c>
      <c r="I176" s="5">
        <f ca="1">(USDJPY[[#This Row],[Price]]-OFFSET(USDJPY[[#This Row],[Price]],-1,0))/OFFSET(USDJPY[[#This Row],[Price]],-1,0)</f>
        <v>4.0220873951871527E-3</v>
      </c>
    </row>
    <row r="177" spans="4:9" x14ac:dyDescent="0.35">
      <c r="D177" vm="74">
        <f ca="1"/>
        <v>45602</v>
      </c>
      <c r="E177" vm="314">
        <f ca="1"/>
        <v>154.63</v>
      </c>
      <c r="G177" s="1" vm="11">
        <v>45513</v>
      </c>
      <c r="H177" s="3" vm="417">
        <v>146.61000000000001</v>
      </c>
      <c r="I177" s="5">
        <f ca="1">(USDJPY[[#This Row],[Price]]-OFFSET(USDJPY[[#This Row],[Price]],-1,0))/OFFSET(USDJPY[[#This Row],[Price]],-1,0)</f>
        <v>-4.5491580662682472E-3</v>
      </c>
    </row>
    <row r="178" spans="4:9" x14ac:dyDescent="0.35">
      <c r="D178" vm="75">
        <f ca="1"/>
        <v>45603</v>
      </c>
      <c r="E178" vm="474">
        <f ca="1"/>
        <v>152.93</v>
      </c>
      <c r="G178" s="1" vm="12">
        <v>45516</v>
      </c>
      <c r="H178" s="3" vm="418">
        <v>147.19</v>
      </c>
      <c r="I178" s="5">
        <f ca="1">(USDJPY[[#This Row],[Price]]-OFFSET(USDJPY[[#This Row],[Price]],-1,0))/OFFSET(USDJPY[[#This Row],[Price]],-1,0)</f>
        <v>3.9560739376576226E-3</v>
      </c>
    </row>
    <row r="179" spans="4:9" x14ac:dyDescent="0.35">
      <c r="D179" vm="76">
        <f ca="1"/>
        <v>45604</v>
      </c>
      <c r="E179" vm="475">
        <f ca="1"/>
        <v>152.63</v>
      </c>
      <c r="G179" s="1" vm="13">
        <v>45517</v>
      </c>
      <c r="H179" s="3" vm="419">
        <v>146.82</v>
      </c>
      <c r="I179" s="5">
        <f ca="1">(USDJPY[[#This Row],[Price]]-OFFSET(USDJPY[[#This Row],[Price]],-1,0))/OFFSET(USDJPY[[#This Row],[Price]],-1,0)</f>
        <v>-2.51375772810656E-3</v>
      </c>
    </row>
    <row r="180" spans="4:9" x14ac:dyDescent="0.35">
      <c r="D180" vm="77">
        <f ca="1"/>
        <v>45607</v>
      </c>
      <c r="E180" vm="476">
        <f ca="1"/>
        <v>153.71</v>
      </c>
      <c r="G180" s="1" vm="14">
        <v>45518</v>
      </c>
      <c r="H180" s="3" vm="420">
        <v>147.31</v>
      </c>
      <c r="I180" s="5">
        <f ca="1">(USDJPY[[#This Row],[Price]]-OFFSET(USDJPY[[#This Row],[Price]],-1,0))/OFFSET(USDJPY[[#This Row],[Price]],-1,0)</f>
        <v>3.3374199700313928E-3</v>
      </c>
    </row>
    <row r="181" spans="4:9" x14ac:dyDescent="0.35">
      <c r="D181" vm="78">
        <f ca="1"/>
        <v>45608</v>
      </c>
      <c r="E181" vm="477">
        <f ca="1"/>
        <v>154.6</v>
      </c>
      <c r="G181" s="1" vm="15">
        <v>45519</v>
      </c>
      <c r="H181" s="3" vm="421">
        <v>149.27000000000001</v>
      </c>
      <c r="I181" s="5">
        <f ca="1">(USDJPY[[#This Row],[Price]]-OFFSET(USDJPY[[#This Row],[Price]],-1,0))/OFFSET(USDJPY[[#This Row],[Price]],-1,0)</f>
        <v>1.3305274590998627E-2</v>
      </c>
    </row>
    <row r="182" spans="4:9" x14ac:dyDescent="0.35">
      <c r="D182" vm="79">
        <f ca="1"/>
        <v>45609</v>
      </c>
      <c r="E182" vm="478">
        <f ca="1"/>
        <v>155.44999999999999</v>
      </c>
      <c r="G182" s="1" vm="16">
        <v>45520</v>
      </c>
      <c r="H182" s="3" vm="422">
        <v>147.58000000000001</v>
      </c>
      <c r="I182" s="5">
        <f ca="1">(USDJPY[[#This Row],[Price]]-OFFSET(USDJPY[[#This Row],[Price]],-1,0))/OFFSET(USDJPY[[#This Row],[Price]],-1,0)</f>
        <v>-1.1321765927513884E-2</v>
      </c>
    </row>
    <row r="183" spans="4:9" x14ac:dyDescent="0.35">
      <c r="D183" vm="80">
        <f ca="1"/>
        <v>45610</v>
      </c>
      <c r="E183" vm="479">
        <f ca="1"/>
        <v>156.25</v>
      </c>
      <c r="G183" s="1" vm="17">
        <v>45523</v>
      </c>
      <c r="H183" s="3" vm="423">
        <v>146.57</v>
      </c>
      <c r="I183" s="5">
        <f ca="1">(USDJPY[[#This Row],[Price]]-OFFSET(USDJPY[[#This Row],[Price]],-1,0))/OFFSET(USDJPY[[#This Row],[Price]],-1,0)</f>
        <v>-6.843745765008939E-3</v>
      </c>
    </row>
    <row r="184" spans="4:9" x14ac:dyDescent="0.35">
      <c r="D184" vm="81">
        <f ca="1"/>
        <v>45611</v>
      </c>
      <c r="E184" vm="480">
        <f ca="1"/>
        <v>154.34</v>
      </c>
      <c r="G184" s="1" vm="18">
        <v>45524</v>
      </c>
      <c r="H184" s="3" vm="424">
        <v>145.25</v>
      </c>
      <c r="I184" s="5">
        <f ca="1">(USDJPY[[#This Row],[Price]]-OFFSET(USDJPY[[#This Row],[Price]],-1,0))/OFFSET(USDJPY[[#This Row],[Price]],-1,0)</f>
        <v>-9.0059357303676965E-3</v>
      </c>
    </row>
    <row r="185" spans="4:9" x14ac:dyDescent="0.35">
      <c r="D185" vm="82">
        <f ca="1"/>
        <v>45614</v>
      </c>
      <c r="E185" vm="481">
        <f ca="1"/>
        <v>154.65</v>
      </c>
      <c r="G185" s="1" vm="19">
        <v>45525</v>
      </c>
      <c r="H185" s="3" vm="425">
        <v>145.26</v>
      </c>
      <c r="I185" s="5">
        <f ca="1">(USDJPY[[#This Row],[Price]]-OFFSET(USDJPY[[#This Row],[Price]],-1,0))/OFFSET(USDJPY[[#This Row],[Price]],-1,0)</f>
        <v>6.884681583470502E-5</v>
      </c>
    </row>
    <row r="186" spans="4:9" x14ac:dyDescent="0.35">
      <c r="D186" vm="83">
        <f ca="1"/>
        <v>45615</v>
      </c>
      <c r="E186" vm="481">
        <f ca="1"/>
        <v>154.65</v>
      </c>
      <c r="G186" s="1" vm="20">
        <v>45526</v>
      </c>
      <c r="H186" s="3" vm="426">
        <v>146.26</v>
      </c>
      <c r="I186" s="5">
        <f ca="1">(USDJPY[[#This Row],[Price]]-OFFSET(USDJPY[[#This Row],[Price]],-1,0))/OFFSET(USDJPY[[#This Row],[Price]],-1,0)</f>
        <v>6.8842076277020516E-3</v>
      </c>
    </row>
    <row r="187" spans="4:9" x14ac:dyDescent="0.35">
      <c r="D187" vm="84">
        <f ca="1"/>
        <v>45616</v>
      </c>
      <c r="E187" vm="482">
        <f ca="1"/>
        <v>155.43</v>
      </c>
      <c r="G187" s="1" vm="21">
        <v>45527</v>
      </c>
      <c r="H187" s="3" vm="427">
        <v>144.37</v>
      </c>
      <c r="I187" s="5">
        <f ca="1">(USDJPY[[#This Row],[Price]]-OFFSET(USDJPY[[#This Row],[Price]],-1,0))/OFFSET(USDJPY[[#This Row],[Price]],-1,0)</f>
        <v>-1.2922193354300468E-2</v>
      </c>
    </row>
    <row r="188" spans="4:9" x14ac:dyDescent="0.35">
      <c r="D188" vm="85">
        <f ca="1"/>
        <v>45617</v>
      </c>
      <c r="E188" vm="483">
        <f ca="1"/>
        <v>154.51</v>
      </c>
      <c r="G188" s="1" vm="22">
        <v>45530</v>
      </c>
      <c r="H188" s="3" vm="428">
        <v>144.52000000000001</v>
      </c>
      <c r="I188" s="5">
        <f ca="1">(USDJPY[[#This Row],[Price]]-OFFSET(USDJPY[[#This Row],[Price]],-1,0))/OFFSET(USDJPY[[#This Row],[Price]],-1,0)</f>
        <v>1.0389970215419109E-3</v>
      </c>
    </row>
    <row r="189" spans="4:9" x14ac:dyDescent="0.35">
      <c r="D189" vm="86">
        <f ca="1"/>
        <v>45618</v>
      </c>
      <c r="E189" vm="484">
        <f ca="1"/>
        <v>154.74</v>
      </c>
      <c r="G189" s="1" vm="23">
        <v>45531</v>
      </c>
      <c r="H189" s="3" vm="429">
        <v>143.94999999999999</v>
      </c>
      <c r="I189" s="5">
        <f ca="1">(USDJPY[[#This Row],[Price]]-OFFSET(USDJPY[[#This Row],[Price]],-1,0))/OFFSET(USDJPY[[#This Row],[Price]],-1,0)</f>
        <v>-3.9440907832827398E-3</v>
      </c>
    </row>
    <row r="190" spans="4:9" x14ac:dyDescent="0.35">
      <c r="D190" vm="87">
        <f ca="1"/>
        <v>45621</v>
      </c>
      <c r="E190" vm="485">
        <f ca="1"/>
        <v>154.21</v>
      </c>
      <c r="G190" s="1" vm="24">
        <v>45532</v>
      </c>
      <c r="H190" s="3" vm="430">
        <v>144.57</v>
      </c>
      <c r="I190" s="5">
        <f ca="1">(USDJPY[[#This Row],[Price]]-OFFSET(USDJPY[[#This Row],[Price]],-1,0))/OFFSET(USDJPY[[#This Row],[Price]],-1,0)</f>
        <v>4.3070510593956552E-3</v>
      </c>
    </row>
    <row r="191" spans="4:9" x14ac:dyDescent="0.35">
      <c r="D191" vm="88">
        <f ca="1"/>
        <v>45622</v>
      </c>
      <c r="E191" vm="486">
        <f ca="1"/>
        <v>153.1</v>
      </c>
      <c r="G191" s="1" vm="25">
        <v>45533</v>
      </c>
      <c r="H191" s="3" vm="431">
        <v>144.97999999999999</v>
      </c>
      <c r="I191" s="5">
        <f ca="1">(USDJPY[[#This Row],[Price]]-OFFSET(USDJPY[[#This Row],[Price]],-1,0))/OFFSET(USDJPY[[#This Row],[Price]],-1,0)</f>
        <v>2.8359964031264896E-3</v>
      </c>
    </row>
    <row r="192" spans="4:9" x14ac:dyDescent="0.35">
      <c r="D192" vm="89">
        <f ca="1"/>
        <v>45623</v>
      </c>
      <c r="E192" vm="487">
        <f ca="1"/>
        <v>151.1</v>
      </c>
      <c r="G192" s="1" vm="26">
        <v>45534</v>
      </c>
      <c r="H192" s="3" vm="258">
        <v>146.16</v>
      </c>
      <c r="I192" s="5">
        <f ca="1">(USDJPY[[#This Row],[Price]]-OFFSET(USDJPY[[#This Row],[Price]],-1,0))/OFFSET(USDJPY[[#This Row],[Price]],-1,0)</f>
        <v>8.1390536625741954E-3</v>
      </c>
    </row>
    <row r="193" spans="4:9" x14ac:dyDescent="0.35">
      <c r="D193" vm="90">
        <f ca="1"/>
        <v>45624</v>
      </c>
      <c r="E193" vm="488">
        <f ca="1"/>
        <v>151.54</v>
      </c>
      <c r="G193" s="1" vm="27">
        <v>45537</v>
      </c>
      <c r="H193" s="3" vm="432">
        <v>146.9</v>
      </c>
      <c r="I193" s="5">
        <f ca="1">(USDJPY[[#This Row],[Price]]-OFFSET(USDJPY[[#This Row],[Price]],-1,0))/OFFSET(USDJPY[[#This Row],[Price]],-1,0)</f>
        <v>5.062944718117194E-3</v>
      </c>
    </row>
    <row r="194" spans="4:9" x14ac:dyDescent="0.35">
      <c r="D194" vm="489">
        <f ca="1"/>
        <v>45625</v>
      </c>
      <c r="E194" vm="459">
        <f ca="1"/>
        <v>149.75</v>
      </c>
      <c r="G194" s="1" vm="28">
        <v>45538</v>
      </c>
      <c r="H194" s="3" vm="433">
        <v>145.47</v>
      </c>
      <c r="I194" s="5">
        <f ca="1">(USDJPY[[#This Row],[Price]]-OFFSET(USDJPY[[#This Row],[Price]],-1,0))/OFFSET(USDJPY[[#This Row],[Price]],-1,0)</f>
        <v>-9.7345132743363299E-3</v>
      </c>
    </row>
    <row r="195" spans="4:9" x14ac:dyDescent="0.35">
      <c r="D195" vm="490">
        <f ca="1"/>
        <v>45628</v>
      </c>
      <c r="E195" vm="491">
        <f ca="1"/>
        <v>149.59</v>
      </c>
      <c r="G195" s="1" vm="29">
        <v>45539</v>
      </c>
      <c r="H195" s="3" vm="434">
        <v>143.72999999999999</v>
      </c>
      <c r="I195" s="5">
        <f ca="1">(USDJPY[[#This Row],[Price]]-OFFSET(USDJPY[[#This Row],[Price]],-1,0))/OFFSET(USDJPY[[#This Row],[Price]],-1,0)</f>
        <v>-1.1961229119406126E-2</v>
      </c>
    </row>
    <row r="196" spans="4:9" x14ac:dyDescent="0.35">
      <c r="D196" vm="492">
        <f ca="1"/>
        <v>45629</v>
      </c>
      <c r="E196" vm="491">
        <f ca="1"/>
        <v>149.59</v>
      </c>
      <c r="G196" s="1" vm="30">
        <v>45540</v>
      </c>
      <c r="H196" s="3" vm="435">
        <v>143.44</v>
      </c>
      <c r="I196" s="5">
        <f ca="1">(USDJPY[[#This Row],[Price]]-OFFSET(USDJPY[[#This Row],[Price]],-1,0))/OFFSET(USDJPY[[#This Row],[Price]],-1,0)</f>
        <v>-2.0176720239337095E-3</v>
      </c>
    </row>
    <row r="197" spans="4:9" x14ac:dyDescent="0.35">
      <c r="D197" vm="493">
        <f ca="1"/>
        <v>45630</v>
      </c>
      <c r="E197" vm="494">
        <f ca="1"/>
        <v>150.6</v>
      </c>
      <c r="G197" s="1" vm="31">
        <v>45541</v>
      </c>
      <c r="H197" s="3" vm="436">
        <v>142.27000000000001</v>
      </c>
      <c r="I197" s="5">
        <f ca="1">(USDJPY[[#This Row],[Price]]-OFFSET(USDJPY[[#This Row],[Price]],-1,0))/OFFSET(USDJPY[[#This Row],[Price]],-1,0)</f>
        <v>-8.1567205800333765E-3</v>
      </c>
    </row>
    <row r="198" spans="4:9" x14ac:dyDescent="0.35">
      <c r="D198" vm="495">
        <f ca="1"/>
        <v>45631</v>
      </c>
      <c r="E198" vm="496">
        <f ca="1"/>
        <v>150.08000000000001</v>
      </c>
      <c r="G198" s="1" vm="32">
        <v>45544</v>
      </c>
      <c r="H198" s="3" vm="437">
        <v>143.16999999999999</v>
      </c>
      <c r="I198" s="5">
        <f ca="1">(USDJPY[[#This Row],[Price]]-OFFSET(USDJPY[[#This Row],[Price]],-1,0))/OFFSET(USDJPY[[#This Row],[Price]],-1,0)</f>
        <v>6.3259998594220653E-3</v>
      </c>
    </row>
    <row r="199" spans="4:9" x14ac:dyDescent="0.35">
      <c r="D199" vm="497">
        <f ca="1"/>
        <v>45632</v>
      </c>
      <c r="E199" vm="498">
        <f ca="1"/>
        <v>150.03</v>
      </c>
      <c r="G199" s="1" vm="33">
        <v>45545</v>
      </c>
      <c r="H199" s="3" vm="438">
        <v>142.43</v>
      </c>
      <c r="I199" s="5">
        <f ca="1">(USDJPY[[#This Row],[Price]]-OFFSET(USDJPY[[#This Row],[Price]],-1,0))/OFFSET(USDJPY[[#This Row],[Price]],-1,0)</f>
        <v>-5.1686805895088412E-3</v>
      </c>
    </row>
    <row r="200" spans="4:9" x14ac:dyDescent="0.35">
      <c r="D200" vm="499">
        <f ca="1"/>
        <v>45635</v>
      </c>
      <c r="E200" vm="500">
        <f ca="1"/>
        <v>151.19</v>
      </c>
      <c r="G200" s="1" vm="34">
        <v>45546</v>
      </c>
      <c r="H200" s="3" vm="439">
        <v>142.35</v>
      </c>
      <c r="I200" s="5">
        <f ca="1">(USDJPY[[#This Row],[Price]]-OFFSET(USDJPY[[#This Row],[Price]],-1,0))/OFFSET(USDJPY[[#This Row],[Price]],-1,0)</f>
        <v>-5.6167942147028363E-4</v>
      </c>
    </row>
    <row r="201" spans="4:9" x14ac:dyDescent="0.35">
      <c r="D201" vm="501">
        <f ca="1"/>
        <v>45636</v>
      </c>
      <c r="E201" vm="502">
        <f ca="1"/>
        <v>151.94999999999999</v>
      </c>
      <c r="G201" s="1" vm="35">
        <v>45547</v>
      </c>
      <c r="H201" s="3" vm="440">
        <v>141.79</v>
      </c>
      <c r="I201" s="5">
        <f ca="1">(USDJPY[[#This Row],[Price]]-OFFSET(USDJPY[[#This Row],[Price]],-1,0))/OFFSET(USDJPY[[#This Row],[Price]],-1,0)</f>
        <v>-3.9339655778012107E-3</v>
      </c>
    </row>
    <row r="202" spans="4:9" x14ac:dyDescent="0.35">
      <c r="D202" vm="503">
        <f ca="1"/>
        <v>45637</v>
      </c>
      <c r="E202" vm="504">
        <f ca="1"/>
        <v>152.44999999999999</v>
      </c>
      <c r="G202" s="1" vm="36">
        <v>45548</v>
      </c>
      <c r="H202" s="3" vm="441">
        <v>140.82</v>
      </c>
      <c r="I202" s="5">
        <f ca="1">(USDJPY[[#This Row],[Price]]-OFFSET(USDJPY[[#This Row],[Price]],-1,0))/OFFSET(USDJPY[[#This Row],[Price]],-1,0)</f>
        <v>-6.8411030397066011E-3</v>
      </c>
    </row>
    <row r="203" spans="4:9" x14ac:dyDescent="0.35">
      <c r="D203" vm="505">
        <f ca="1"/>
        <v>45638</v>
      </c>
      <c r="E203" vm="506">
        <f ca="1"/>
        <v>152.62</v>
      </c>
      <c r="G203" s="1" vm="37">
        <v>45551</v>
      </c>
      <c r="H203" s="3" vm="442">
        <v>140.6</v>
      </c>
      <c r="I203" s="5">
        <f ca="1">(USDJPY[[#This Row],[Price]]-OFFSET(USDJPY[[#This Row],[Price]],-1,0))/OFFSET(USDJPY[[#This Row],[Price]],-1,0)</f>
        <v>-1.5622780854992109E-3</v>
      </c>
    </row>
    <row r="204" spans="4:9" x14ac:dyDescent="0.35">
      <c r="D204" vm="507">
        <f ca="1"/>
        <v>45639</v>
      </c>
      <c r="E204" vm="508">
        <f ca="1"/>
        <v>153.63999999999999</v>
      </c>
      <c r="G204" s="1" vm="38">
        <v>45552</v>
      </c>
      <c r="H204" s="3" vm="443">
        <v>142.4</v>
      </c>
      <c r="I204" s="5">
        <f ca="1">(USDJPY[[#This Row],[Price]]-OFFSET(USDJPY[[#This Row],[Price]],-1,0))/OFFSET(USDJPY[[#This Row],[Price]],-1,0)</f>
        <v>1.2802275960170778E-2</v>
      </c>
    </row>
    <row r="205" spans="4:9" x14ac:dyDescent="0.35">
      <c r="D205" vm="509">
        <f ca="1"/>
        <v>45642</v>
      </c>
      <c r="E205" vm="510">
        <f ca="1"/>
        <v>154.15</v>
      </c>
      <c r="G205" s="1" vm="39">
        <v>45553</v>
      </c>
      <c r="H205" s="3" vm="436">
        <v>142.27000000000001</v>
      </c>
      <c r="I205" s="5">
        <f ca="1">(USDJPY[[#This Row],[Price]]-OFFSET(USDJPY[[#This Row],[Price]],-1,0))/OFFSET(USDJPY[[#This Row],[Price]],-1,0)</f>
        <v>-9.129213483145748E-4</v>
      </c>
    </row>
    <row r="206" spans="4:9" x14ac:dyDescent="0.35">
      <c r="D206" vm="511">
        <f ca="1"/>
        <v>45643</v>
      </c>
      <c r="E206" vm="512">
        <f ca="1"/>
        <v>153.47999999999999</v>
      </c>
      <c r="G206" s="1" vm="40">
        <v>45554</v>
      </c>
      <c r="H206" s="3" vm="444">
        <v>142.62</v>
      </c>
      <c r="I206" s="5">
        <f ca="1">(USDJPY[[#This Row],[Price]]-OFFSET(USDJPY[[#This Row],[Price]],-1,0))/OFFSET(USDJPY[[#This Row],[Price]],-1,0)</f>
        <v>2.4601110564419363E-3</v>
      </c>
    </row>
    <row r="207" spans="4:9" x14ac:dyDescent="0.35">
      <c r="D207" vm="513">
        <f ca="1"/>
        <v>45644</v>
      </c>
      <c r="E207" vm="514">
        <f ca="1"/>
        <v>154.80000000000001</v>
      </c>
      <c r="G207" s="1" vm="41">
        <v>45555</v>
      </c>
      <c r="H207" s="3" vm="445">
        <v>143.91</v>
      </c>
      <c r="I207" s="5">
        <f ca="1">(USDJPY[[#This Row],[Price]]-OFFSET(USDJPY[[#This Row],[Price]],-1,0))/OFFSET(USDJPY[[#This Row],[Price]],-1,0)</f>
        <v>9.0450147244425187E-3</v>
      </c>
    </row>
    <row r="208" spans="4:9" x14ac:dyDescent="0.35">
      <c r="D208" vm="515">
        <f ca="1"/>
        <v>45645</v>
      </c>
      <c r="E208" vm="516">
        <f ca="1"/>
        <v>157.43</v>
      </c>
      <c r="G208" s="1" vm="42">
        <v>45558</v>
      </c>
      <c r="H208" s="3" vm="446">
        <v>143.6</v>
      </c>
      <c r="I208" s="5">
        <f ca="1">(USDJPY[[#This Row],[Price]]-OFFSET(USDJPY[[#This Row],[Price]],-1,0))/OFFSET(USDJPY[[#This Row],[Price]],-1,0)</f>
        <v>-2.1541241053436334E-3</v>
      </c>
    </row>
    <row r="209" spans="4:9" x14ac:dyDescent="0.35">
      <c r="D209" vm="517">
        <f ca="1"/>
        <v>45646</v>
      </c>
      <c r="E209" vm="518">
        <f ca="1"/>
        <v>156.41</v>
      </c>
      <c r="G209" s="1" vm="43">
        <v>45559</v>
      </c>
      <c r="H209" s="3" vm="447">
        <v>143.21</v>
      </c>
      <c r="I209" s="5">
        <f ca="1">(USDJPY[[#This Row],[Price]]-OFFSET(USDJPY[[#This Row],[Price]],-1,0))/OFFSET(USDJPY[[#This Row],[Price]],-1,0)</f>
        <v>-2.7158774373258103E-3</v>
      </c>
    </row>
    <row r="210" spans="4:9" x14ac:dyDescent="0.35">
      <c r="D210" vm="519">
        <f ca="1"/>
        <v>45649</v>
      </c>
      <c r="E210" vm="367">
        <f ca="1"/>
        <v>157.16</v>
      </c>
      <c r="G210" s="1" vm="44">
        <v>45560</v>
      </c>
      <c r="H210" s="3" vm="448">
        <v>144.75</v>
      </c>
      <c r="I210" s="5">
        <f ca="1">(USDJPY[[#This Row],[Price]]-OFFSET(USDJPY[[#This Row],[Price]],-1,0))/OFFSET(USDJPY[[#This Row],[Price]],-1,0)</f>
        <v>1.0753439005655974E-2</v>
      </c>
    </row>
    <row r="211" spans="4:9" x14ac:dyDescent="0.35">
      <c r="D211" vm="520">
        <f ca="1"/>
        <v>45650</v>
      </c>
      <c r="E211" vm="521">
        <f ca="1"/>
        <v>157.18</v>
      </c>
      <c r="G211" s="1" vm="45">
        <v>45561</v>
      </c>
      <c r="H211" s="3" vm="449">
        <v>144.80000000000001</v>
      </c>
      <c r="I211" s="5">
        <f ca="1">(USDJPY[[#This Row],[Price]]-OFFSET(USDJPY[[#This Row],[Price]],-1,0))/OFFSET(USDJPY[[#This Row],[Price]],-1,0)</f>
        <v>3.4542314335068302E-4</v>
      </c>
    </row>
    <row r="212" spans="4:9" x14ac:dyDescent="0.35">
      <c r="D212" vm="522">
        <f ca="1"/>
        <v>45651</v>
      </c>
      <c r="E212" vm="523">
        <f ca="1"/>
        <v>157.4</v>
      </c>
      <c r="G212" s="1" vm="46">
        <v>45562</v>
      </c>
      <c r="H212" s="3" vm="450">
        <v>142.19</v>
      </c>
      <c r="I212" s="5">
        <f ca="1">(USDJPY[[#This Row],[Price]]-OFFSET(USDJPY[[#This Row],[Price]],-1,0))/OFFSET(USDJPY[[#This Row],[Price]],-1,0)</f>
        <v>-1.8024861878453133E-2</v>
      </c>
    </row>
    <row r="213" spans="4:9" x14ac:dyDescent="0.35">
      <c r="D213" vm="524">
        <f ca="1"/>
        <v>45652</v>
      </c>
      <c r="E213" vm="525">
        <f ca="1"/>
        <v>158</v>
      </c>
      <c r="G213" s="1" vm="47">
        <v>45565</v>
      </c>
      <c r="H213" s="3" vm="451">
        <v>143.62</v>
      </c>
      <c r="I213" s="5">
        <f ca="1">(USDJPY[[#This Row],[Price]]-OFFSET(USDJPY[[#This Row],[Price]],-1,0))/OFFSET(USDJPY[[#This Row],[Price]],-1,0)</f>
        <v>1.005696603136653E-2</v>
      </c>
    </row>
    <row r="214" spans="4:9" x14ac:dyDescent="0.35">
      <c r="D214" vm="526">
        <f ca="1"/>
        <v>45653</v>
      </c>
      <c r="E214" vm="527">
        <f ca="1"/>
        <v>157.82</v>
      </c>
      <c r="G214" s="1" vm="48">
        <v>45566</v>
      </c>
      <c r="H214" s="3" vm="273">
        <v>143.56</v>
      </c>
      <c r="I214" s="5">
        <f ca="1">(USDJPY[[#This Row],[Price]]-OFFSET(USDJPY[[#This Row],[Price]],-1,0))/OFFSET(USDJPY[[#This Row],[Price]],-1,0)</f>
        <v>-4.1776911293693266E-4</v>
      </c>
    </row>
    <row r="215" spans="4:9" x14ac:dyDescent="0.35">
      <c r="D215" vm="528">
        <f ca="1"/>
        <v>45656</v>
      </c>
      <c r="E215" vm="529">
        <f ca="1"/>
        <v>156.83000000000001</v>
      </c>
      <c r="G215" s="1" vm="49">
        <v>45567</v>
      </c>
      <c r="H215" s="3" vm="452">
        <v>146.46</v>
      </c>
      <c r="I215" s="5">
        <f ca="1">(USDJPY[[#This Row],[Price]]-OFFSET(USDJPY[[#This Row],[Price]],-1,0))/OFFSET(USDJPY[[#This Row],[Price]],-1,0)</f>
        <v>2.0200612984118179E-2</v>
      </c>
    </row>
    <row r="216" spans="4:9" x14ac:dyDescent="0.35">
      <c r="D216" vm="530">
        <f ca="1"/>
        <v>45657</v>
      </c>
      <c r="E216" vm="521">
        <f ca="1"/>
        <v>157.18</v>
      </c>
      <c r="G216" s="1" vm="50">
        <v>45568</v>
      </c>
      <c r="H216" s="3" vm="453">
        <v>146.91999999999999</v>
      </c>
      <c r="I216" s="5">
        <f ca="1">(USDJPY[[#This Row],[Price]]-OFFSET(USDJPY[[#This Row],[Price]],-1,0))/OFFSET(USDJPY[[#This Row],[Price]],-1,0)</f>
        <v>3.1407892940050492E-3</v>
      </c>
    </row>
    <row r="217" spans="4:9" x14ac:dyDescent="0.35">
      <c r="D217" vm="531">
        <f ca="1"/>
        <v>45658</v>
      </c>
      <c r="E217" vm="532">
        <f ca="1"/>
        <v>156.87</v>
      </c>
      <c r="G217" s="1" vm="51">
        <v>45569</v>
      </c>
      <c r="H217" s="3" vm="454">
        <v>148.71</v>
      </c>
      <c r="I217" s="5">
        <f ca="1">(USDJPY[[#This Row],[Price]]-OFFSET(USDJPY[[#This Row],[Price]],-1,0))/OFFSET(USDJPY[[#This Row],[Price]],-1,0)</f>
        <v>1.2183501225156688E-2</v>
      </c>
    </row>
    <row r="218" spans="4:9" x14ac:dyDescent="0.35">
      <c r="D218" vm="533">
        <f ca="1"/>
        <v>45659</v>
      </c>
      <c r="E218" vm="534">
        <f ca="1"/>
        <v>157.52000000000001</v>
      </c>
      <c r="G218" s="1" vm="52">
        <v>45572</v>
      </c>
      <c r="H218" s="3" vm="338">
        <v>148.18</v>
      </c>
      <c r="I218" s="5">
        <f ca="1">(USDJPY[[#This Row],[Price]]-OFFSET(USDJPY[[#This Row],[Price]],-1,0))/OFFSET(USDJPY[[#This Row],[Price]],-1,0)</f>
        <v>-3.5639835922264885E-3</v>
      </c>
    </row>
    <row r="219" spans="4:9" x14ac:dyDescent="0.35">
      <c r="D219" vm="535">
        <f ca="1"/>
        <v>45660</v>
      </c>
      <c r="E219" vm="536">
        <f ca="1"/>
        <v>157.27000000000001</v>
      </c>
      <c r="G219" s="1" vm="53">
        <v>45573</v>
      </c>
      <c r="H219" s="3" vm="455">
        <v>148.19</v>
      </c>
      <c r="I219" s="5">
        <f ca="1">(USDJPY[[#This Row],[Price]]-OFFSET(USDJPY[[#This Row],[Price]],-1,0))/OFFSET(USDJPY[[#This Row],[Price]],-1,0)</f>
        <v>6.7485490619455417E-5</v>
      </c>
    </row>
    <row r="220" spans="4:9" x14ac:dyDescent="0.35">
      <c r="D220" vm="537">
        <f ca="1"/>
        <v>45663</v>
      </c>
      <c r="E220" vm="369">
        <f ca="1"/>
        <v>157.6</v>
      </c>
      <c r="G220" s="1" vm="54">
        <v>45574</v>
      </c>
      <c r="H220" s="3" vm="456">
        <v>149.29</v>
      </c>
      <c r="I220" s="5">
        <f ca="1">(USDJPY[[#This Row],[Price]]-OFFSET(USDJPY[[#This Row],[Price]],-1,0))/OFFSET(USDJPY[[#This Row],[Price]],-1,0)</f>
        <v>7.4229030298940167E-3</v>
      </c>
    </row>
    <row r="221" spans="4:9" x14ac:dyDescent="0.35">
      <c r="D221" vm="538">
        <f ca="1"/>
        <v>45664</v>
      </c>
      <c r="E221" vm="539">
        <f ca="1"/>
        <v>158.02000000000001</v>
      </c>
      <c r="G221" s="1" vm="55">
        <v>45575</v>
      </c>
      <c r="H221" s="3" vm="457">
        <v>148.56</v>
      </c>
      <c r="I221" s="5">
        <f ca="1">(USDJPY[[#This Row],[Price]]-OFFSET(USDJPY[[#This Row],[Price]],-1,0))/OFFSET(USDJPY[[#This Row],[Price]],-1,0)</f>
        <v>-4.8898117757384275E-3</v>
      </c>
    </row>
    <row r="222" spans="4:9" x14ac:dyDescent="0.35">
      <c r="D222" vm="540">
        <f ca="1"/>
        <v>45665</v>
      </c>
      <c r="E222" vm="541">
        <f ca="1"/>
        <v>158.35</v>
      </c>
      <c r="G222" s="1" vm="56">
        <v>45576</v>
      </c>
      <c r="H222" s="3" vm="458">
        <v>149.13</v>
      </c>
      <c r="I222" s="5">
        <f ca="1">(USDJPY[[#This Row],[Price]]-OFFSET(USDJPY[[#This Row],[Price]],-1,0))/OFFSET(USDJPY[[#This Row],[Price]],-1,0)</f>
        <v>3.8368336025847681E-3</v>
      </c>
    </row>
    <row r="223" spans="4:9" x14ac:dyDescent="0.35">
      <c r="D223" vm="542">
        <f ca="1"/>
        <v>45666</v>
      </c>
      <c r="E223" vm="543">
        <f ca="1"/>
        <v>158.13999999999999</v>
      </c>
      <c r="G223" s="1" vm="57">
        <v>45579</v>
      </c>
      <c r="H223" s="3" vm="459">
        <v>149.75</v>
      </c>
      <c r="I223" s="5">
        <f ca="1">(USDJPY[[#This Row],[Price]]-OFFSET(USDJPY[[#This Row],[Price]],-1,0))/OFFSET(USDJPY[[#This Row],[Price]],-1,0)</f>
        <v>4.157446523167737E-3</v>
      </c>
    </row>
    <row r="224" spans="4:9" x14ac:dyDescent="0.35">
      <c r="D224" vm="544">
        <f ca="1"/>
        <v>45667</v>
      </c>
      <c r="E224" vm="545">
        <f ca="1"/>
        <v>157.69</v>
      </c>
      <c r="G224" s="1" vm="58">
        <v>45580</v>
      </c>
      <c r="H224" s="3" vm="460">
        <v>149.19</v>
      </c>
      <c r="I224" s="5">
        <f ca="1">(USDJPY[[#This Row],[Price]]-OFFSET(USDJPY[[#This Row],[Price]],-1,0))/OFFSET(USDJPY[[#This Row],[Price]],-1,0)</f>
        <v>-3.7395659432387465E-3</v>
      </c>
    </row>
    <row r="225" spans="4:9" x14ac:dyDescent="0.35">
      <c r="D225" vm="546">
        <f ca="1"/>
        <v>45670</v>
      </c>
      <c r="E225" vm="547">
        <f ca="1"/>
        <v>157.47</v>
      </c>
      <c r="G225" s="1" vm="59">
        <v>45581</v>
      </c>
      <c r="H225" s="3" vm="461">
        <v>149.62</v>
      </c>
      <c r="I225" s="5">
        <f ca="1">(USDJPY[[#This Row],[Price]]-OFFSET(USDJPY[[#This Row],[Price]],-1,0))/OFFSET(USDJPY[[#This Row],[Price]],-1,0)</f>
        <v>2.8822307125142893E-3</v>
      </c>
    </row>
    <row r="226" spans="4:9" x14ac:dyDescent="0.35">
      <c r="D226" vm="548">
        <f ca="1"/>
        <v>45671</v>
      </c>
      <c r="E226" vm="549">
        <f ca="1"/>
        <v>157.96</v>
      </c>
      <c r="G226" s="1" vm="60">
        <v>45582</v>
      </c>
      <c r="H226" s="3" vm="462">
        <v>150.19999999999999</v>
      </c>
      <c r="I226" s="5">
        <f ca="1">(USDJPY[[#This Row],[Price]]-OFFSET(USDJPY[[#This Row],[Price]],-1,0))/OFFSET(USDJPY[[#This Row],[Price]],-1,0)</f>
        <v>3.876487100654886E-3</v>
      </c>
    </row>
    <row r="227" spans="4:9" x14ac:dyDescent="0.35">
      <c r="D227" vm="550">
        <f ca="1"/>
        <v>45672</v>
      </c>
      <c r="E227" vm="551">
        <f ca="1"/>
        <v>156.47</v>
      </c>
      <c r="G227" s="1" vm="61">
        <v>45583</v>
      </c>
      <c r="H227" s="3" vm="463">
        <v>149.52000000000001</v>
      </c>
      <c r="I227" s="5">
        <f ca="1">(USDJPY[[#This Row],[Price]]-OFFSET(USDJPY[[#This Row],[Price]],-1,0))/OFFSET(USDJPY[[#This Row],[Price]],-1,0)</f>
        <v>-4.527296937416634E-3</v>
      </c>
    </row>
    <row r="228" spans="4:9" x14ac:dyDescent="0.35">
      <c r="D228" vm="552">
        <f ca="1"/>
        <v>45673</v>
      </c>
      <c r="E228" vm="553">
        <f ca="1"/>
        <v>155.12</v>
      </c>
      <c r="G228" s="1" vm="62">
        <v>45586</v>
      </c>
      <c r="H228" s="3" vm="464">
        <v>150.83000000000001</v>
      </c>
      <c r="I228" s="5">
        <f ca="1">(USDJPY[[#This Row],[Price]]-OFFSET(USDJPY[[#This Row],[Price]],-1,0))/OFFSET(USDJPY[[#This Row],[Price]],-1,0)</f>
        <v>8.7613697164259114E-3</v>
      </c>
    </row>
    <row r="229" spans="4:9" x14ac:dyDescent="0.35">
      <c r="D229" vm="554">
        <f ca="1"/>
        <v>45674</v>
      </c>
      <c r="E229" vm="555">
        <f ca="1"/>
        <v>156.30000000000001</v>
      </c>
      <c r="G229" s="1" vm="63">
        <v>45587</v>
      </c>
      <c r="H229" s="3" vm="465">
        <v>151.06</v>
      </c>
      <c r="I229" s="5">
        <f ca="1">(USDJPY[[#This Row],[Price]]-OFFSET(USDJPY[[#This Row],[Price]],-1,0))/OFFSET(USDJPY[[#This Row],[Price]],-1,0)</f>
        <v>1.5248955778027564E-3</v>
      </c>
    </row>
    <row r="230" spans="4:9" x14ac:dyDescent="0.35">
      <c r="D230" vm="556">
        <f ca="1"/>
        <v>45677</v>
      </c>
      <c r="E230" vm="557">
        <f ca="1"/>
        <v>155.59</v>
      </c>
      <c r="G230" s="1" vm="64">
        <v>45588</v>
      </c>
      <c r="H230" s="3" vm="466">
        <v>152.75</v>
      </c>
      <c r="I230" s="5">
        <f ca="1">(USDJPY[[#This Row],[Price]]-OFFSET(USDJPY[[#This Row],[Price]],-1,0))/OFFSET(USDJPY[[#This Row],[Price]],-1,0)</f>
        <v>1.1187607573149726E-2</v>
      </c>
    </row>
    <row r="231" spans="4:9" x14ac:dyDescent="0.35">
      <c r="D231" vm="558">
        <f ca="1"/>
        <v>45678</v>
      </c>
      <c r="E231" vm="559">
        <f ca="1"/>
        <v>155.5</v>
      </c>
      <c r="G231" s="1" vm="65">
        <v>45589</v>
      </c>
      <c r="H231" s="3" vm="467">
        <v>151.82</v>
      </c>
      <c r="I231" s="5">
        <f ca="1">(USDJPY[[#This Row],[Price]]-OFFSET(USDJPY[[#This Row],[Price]],-1,0))/OFFSET(USDJPY[[#This Row],[Price]],-1,0)</f>
        <v>-6.0883797054010263E-3</v>
      </c>
    </row>
    <row r="232" spans="4:9" x14ac:dyDescent="0.35">
      <c r="D232" vm="560">
        <f ca="1"/>
        <v>45679</v>
      </c>
      <c r="E232" vm="561">
        <f ca="1"/>
        <v>156.53</v>
      </c>
      <c r="G232" s="1" vm="66">
        <v>45590</v>
      </c>
      <c r="H232" s="3" vm="468">
        <v>152.30000000000001</v>
      </c>
      <c r="I232" s="5">
        <f ca="1">(USDJPY[[#This Row],[Price]]-OFFSET(USDJPY[[#This Row],[Price]],-1,0))/OFFSET(USDJPY[[#This Row],[Price]],-1,0)</f>
        <v>3.1616387827691885E-3</v>
      </c>
    </row>
    <row r="233" spans="4:9" x14ac:dyDescent="0.35">
      <c r="D233" vm="562">
        <f ca="1"/>
        <v>45680</v>
      </c>
      <c r="E233" vm="563">
        <f ca="1"/>
        <v>156.05000000000001</v>
      </c>
      <c r="G233" s="1" vm="67">
        <v>45593</v>
      </c>
      <c r="H233" s="3" vm="307">
        <v>153.28</v>
      </c>
      <c r="I233" s="5">
        <f ca="1">(USDJPY[[#This Row],[Price]]-OFFSET(USDJPY[[#This Row],[Price]],-1,0))/OFFSET(USDJPY[[#This Row],[Price]],-1,0)</f>
        <v>6.4346684175967802E-3</v>
      </c>
    </row>
    <row r="234" spans="4:9" x14ac:dyDescent="0.35">
      <c r="D234" vm="564">
        <f ca="1"/>
        <v>45681</v>
      </c>
      <c r="E234" vm="565">
        <f ca="1"/>
        <v>155.97999999999999</v>
      </c>
      <c r="G234" s="1" vm="68">
        <v>45594</v>
      </c>
      <c r="H234" s="3" vm="469">
        <v>153.35</v>
      </c>
      <c r="I234" s="5">
        <f ca="1">(USDJPY[[#This Row],[Price]]-OFFSET(USDJPY[[#This Row],[Price]],-1,0))/OFFSET(USDJPY[[#This Row],[Price]],-1,0)</f>
        <v>4.566805845511037E-4</v>
      </c>
    </row>
    <row r="235" spans="4:9" x14ac:dyDescent="0.35">
      <c r="D235" vm="566">
        <f ca="1"/>
        <v>45684</v>
      </c>
      <c r="E235" vm="567">
        <f ca="1"/>
        <v>154.49</v>
      </c>
      <c r="G235" s="1" vm="69">
        <v>45595</v>
      </c>
      <c r="H235" s="3" vm="470">
        <v>153.41</v>
      </c>
      <c r="I235" s="5">
        <f ca="1">(USDJPY[[#This Row],[Price]]-OFFSET(USDJPY[[#This Row],[Price]],-1,0))/OFFSET(USDJPY[[#This Row],[Price]],-1,0)</f>
        <v>3.9126181936747492E-4</v>
      </c>
    </row>
    <row r="236" spans="4:9" x14ac:dyDescent="0.35">
      <c r="D236" vm="568">
        <f ca="1"/>
        <v>45685</v>
      </c>
      <c r="E236" vm="569">
        <f ca="1"/>
        <v>155.52000000000001</v>
      </c>
      <c r="G236" s="1" vm="70">
        <v>45596</v>
      </c>
      <c r="H236" s="3" vm="471">
        <v>152.03</v>
      </c>
      <c r="I236" s="5">
        <f ca="1">(USDJPY[[#This Row],[Price]]-OFFSET(USDJPY[[#This Row],[Price]],-1,0))/OFFSET(USDJPY[[#This Row],[Price]],-1,0)</f>
        <v>-8.995502248875532E-3</v>
      </c>
    </row>
    <row r="237" spans="4:9" x14ac:dyDescent="0.35">
      <c r="D237" vm="570">
        <f ca="1"/>
        <v>45686</v>
      </c>
      <c r="E237" vm="571">
        <f ca="1"/>
        <v>155.19999999999999</v>
      </c>
      <c r="G237" s="1" vm="71">
        <v>45597</v>
      </c>
      <c r="H237" s="3" vm="335">
        <v>152.97999999999999</v>
      </c>
      <c r="I237" s="5">
        <f ca="1">(USDJPY[[#This Row],[Price]]-OFFSET(USDJPY[[#This Row],[Price]],-1,0))/OFFSET(USDJPY[[#This Row],[Price]],-1,0)</f>
        <v>6.2487666907846389E-3</v>
      </c>
    </row>
    <row r="238" spans="4:9" x14ac:dyDescent="0.35">
      <c r="D238" vm="572">
        <f ca="1"/>
        <v>45687</v>
      </c>
      <c r="E238" vm="573">
        <f ca="1"/>
        <v>154.30000000000001</v>
      </c>
      <c r="G238" s="1" vm="72">
        <v>45600</v>
      </c>
      <c r="H238" s="3" vm="472">
        <v>152.13</v>
      </c>
      <c r="I238" s="5">
        <f ca="1">(USDJPY[[#This Row],[Price]]-OFFSET(USDJPY[[#This Row],[Price]],-1,0))/OFFSET(USDJPY[[#This Row],[Price]],-1,0)</f>
        <v>-5.5562818669106706E-3</v>
      </c>
    </row>
    <row r="239" spans="4:9" x14ac:dyDescent="0.35">
      <c r="D239" vm="574">
        <f ca="1"/>
        <v>45688</v>
      </c>
      <c r="E239" vm="575">
        <f ca="1"/>
        <v>155.18</v>
      </c>
      <c r="G239" s="1" vm="73">
        <v>45601</v>
      </c>
      <c r="H239" s="3" vm="473">
        <v>151.6</v>
      </c>
      <c r="I239" s="5">
        <f ca="1">(USDJPY[[#This Row],[Price]]-OFFSET(USDJPY[[#This Row],[Price]],-1,0))/OFFSET(USDJPY[[#This Row],[Price]],-1,0)</f>
        <v>-3.4838624860316909E-3</v>
      </c>
    </row>
    <row r="240" spans="4:9" x14ac:dyDescent="0.35">
      <c r="D240" vm="576">
        <f ca="1"/>
        <v>45691</v>
      </c>
      <c r="E240" vm="577">
        <f ca="1"/>
        <v>154.75</v>
      </c>
      <c r="G240" s="1" vm="74">
        <v>45602</v>
      </c>
      <c r="H240" s="3" vm="314">
        <v>154.63</v>
      </c>
      <c r="I240" s="5">
        <f ca="1">(USDJPY[[#This Row],[Price]]-OFFSET(USDJPY[[#This Row],[Price]],-1,0))/OFFSET(USDJPY[[#This Row],[Price]],-1,0)</f>
        <v>1.9986807387862807E-2</v>
      </c>
    </row>
    <row r="241" spans="4:9" x14ac:dyDescent="0.35">
      <c r="D241" vm="578">
        <f ca="1"/>
        <v>45692</v>
      </c>
      <c r="E241" vm="579">
        <f ca="1"/>
        <v>154.33000000000001</v>
      </c>
      <c r="G241" s="1" vm="75">
        <v>45603</v>
      </c>
      <c r="H241" s="3" vm="474">
        <v>152.93</v>
      </c>
      <c r="I241" s="5">
        <f ca="1">(USDJPY[[#This Row],[Price]]-OFFSET(USDJPY[[#This Row],[Price]],-1,0))/OFFSET(USDJPY[[#This Row],[Price]],-1,0)</f>
        <v>-1.0993985643148086E-2</v>
      </c>
    </row>
    <row r="242" spans="4:9" x14ac:dyDescent="0.35">
      <c r="D242" vm="580">
        <f ca="1"/>
        <v>45693</v>
      </c>
      <c r="E242" vm="581">
        <f ca="1"/>
        <v>152.6</v>
      </c>
      <c r="G242" s="1" vm="76">
        <v>45604</v>
      </c>
      <c r="H242" s="3" vm="475">
        <v>152.63</v>
      </c>
      <c r="I242" s="5">
        <f ca="1">(USDJPY[[#This Row],[Price]]-OFFSET(USDJPY[[#This Row],[Price]],-1,0))/OFFSET(USDJPY[[#This Row],[Price]],-1,0)</f>
        <v>-1.9616818152096475E-3</v>
      </c>
    </row>
    <row r="243" spans="4:9" x14ac:dyDescent="0.35">
      <c r="D243" vm="582">
        <f ca="1"/>
        <v>45694</v>
      </c>
      <c r="E243" vm="583">
        <f ca="1"/>
        <v>151.44</v>
      </c>
      <c r="G243" s="1" vm="77">
        <v>45607</v>
      </c>
      <c r="H243" s="3" vm="476">
        <v>153.71</v>
      </c>
      <c r="I243" s="5">
        <f ca="1">(USDJPY[[#This Row],[Price]]-OFFSET(USDJPY[[#This Row],[Price]],-1,0))/OFFSET(USDJPY[[#This Row],[Price]],-1,0)</f>
        <v>7.0759352682959612E-3</v>
      </c>
    </row>
    <row r="244" spans="4:9" x14ac:dyDescent="0.35">
      <c r="D244" vm="584">
        <f ca="1"/>
        <v>45695</v>
      </c>
      <c r="E244" vm="585">
        <f ca="1"/>
        <v>151.4</v>
      </c>
      <c r="G244" s="1" vm="78">
        <v>45608</v>
      </c>
      <c r="H244" s="3" vm="477">
        <v>154.6</v>
      </c>
      <c r="I244" s="5">
        <f ca="1">(USDJPY[[#This Row],[Price]]-OFFSET(USDJPY[[#This Row],[Price]],-1,0))/OFFSET(USDJPY[[#This Row],[Price]],-1,0)</f>
        <v>5.7901242599699846E-3</v>
      </c>
    </row>
    <row r="245" spans="4:9" x14ac:dyDescent="0.35">
      <c r="D245" vm="586">
        <f ca="1"/>
        <v>45698</v>
      </c>
      <c r="E245" vm="587">
        <f ca="1"/>
        <v>151.99</v>
      </c>
      <c r="G245" s="1" vm="79">
        <v>45609</v>
      </c>
      <c r="H245" s="3" vm="478">
        <v>155.44999999999999</v>
      </c>
      <c r="I245" s="5">
        <f ca="1">(USDJPY[[#This Row],[Price]]-OFFSET(USDJPY[[#This Row],[Price]],-1,0))/OFFSET(USDJPY[[#This Row],[Price]],-1,0)</f>
        <v>5.49805950840876E-3</v>
      </c>
    </row>
    <row r="246" spans="4:9" x14ac:dyDescent="0.35">
      <c r="D246" vm="588">
        <f ca="1"/>
        <v>45699</v>
      </c>
      <c r="E246" vm="589">
        <f ca="1"/>
        <v>152.47999999999999</v>
      </c>
      <c r="G246" s="1" vm="80">
        <v>45610</v>
      </c>
      <c r="H246" s="3" vm="479">
        <v>156.25</v>
      </c>
      <c r="I246" s="5">
        <f ca="1">(USDJPY[[#This Row],[Price]]-OFFSET(USDJPY[[#This Row],[Price]],-1,0))/OFFSET(USDJPY[[#This Row],[Price]],-1,0)</f>
        <v>5.1463493084593854E-3</v>
      </c>
    </row>
    <row r="247" spans="4:9" x14ac:dyDescent="0.35">
      <c r="D247" vm="590">
        <f ca="1"/>
        <v>45700</v>
      </c>
      <c r="E247" vm="591">
        <f ca="1"/>
        <v>154.41</v>
      </c>
      <c r="G247" s="1" vm="81">
        <v>45611</v>
      </c>
      <c r="H247" s="3" vm="480">
        <v>154.34</v>
      </c>
      <c r="I247" s="5">
        <f ca="1">(USDJPY[[#This Row],[Price]]-OFFSET(USDJPY[[#This Row],[Price]],-1,0))/OFFSET(USDJPY[[#This Row],[Price]],-1,0)</f>
        <v>-1.2223999999999978E-2</v>
      </c>
    </row>
    <row r="248" spans="4:9" x14ac:dyDescent="0.35">
      <c r="D248" vm="592">
        <f ca="1"/>
        <v>45701</v>
      </c>
      <c r="E248" vm="593">
        <f ca="1"/>
        <v>152.79</v>
      </c>
      <c r="G248" s="1" vm="82">
        <v>45614</v>
      </c>
      <c r="H248" s="3" vm="481">
        <v>154.65</v>
      </c>
      <c r="I248" s="5">
        <f ca="1">(USDJPY[[#This Row],[Price]]-OFFSET(USDJPY[[#This Row],[Price]],-1,0))/OFFSET(USDJPY[[#This Row],[Price]],-1,0)</f>
        <v>2.0085525463263074E-3</v>
      </c>
    </row>
    <row r="249" spans="4:9" x14ac:dyDescent="0.35">
      <c r="D249" vm="594">
        <f ca="1"/>
        <v>45702</v>
      </c>
      <c r="E249" vm="595">
        <f ca="1"/>
        <v>152.33000000000001</v>
      </c>
      <c r="G249" s="1" vm="83">
        <v>45615</v>
      </c>
      <c r="H249" s="3" vm="481">
        <v>154.65</v>
      </c>
      <c r="I249" s="5">
        <f ca="1">(USDJPY[[#This Row],[Price]]-OFFSET(USDJPY[[#This Row],[Price]],-1,0))/OFFSET(USDJPY[[#This Row],[Price]],-1,0)</f>
        <v>0</v>
      </c>
    </row>
    <row r="250" spans="4:9" x14ac:dyDescent="0.35">
      <c r="D250" vm="596">
        <f ca="1"/>
        <v>45705</v>
      </c>
      <c r="E250" vm="597">
        <f ca="1"/>
        <v>151.5</v>
      </c>
      <c r="G250" s="1" vm="84">
        <v>45616</v>
      </c>
      <c r="H250" s="3" vm="482">
        <v>155.43</v>
      </c>
      <c r="I250" s="5">
        <f ca="1">(USDJPY[[#This Row],[Price]]-OFFSET(USDJPY[[#This Row],[Price]],-1,0))/OFFSET(USDJPY[[#This Row],[Price]],-1,0)</f>
        <v>5.0436469447138772E-3</v>
      </c>
    </row>
    <row r="251" spans="4:9" x14ac:dyDescent="0.35">
      <c r="D251" vm="598">
        <f ca="1"/>
        <v>45706</v>
      </c>
      <c r="E251" vm="599">
        <f ca="1"/>
        <v>152.05000000000001</v>
      </c>
      <c r="G251" s="1" vm="85">
        <v>45617</v>
      </c>
      <c r="H251" s="3" vm="483">
        <v>154.51</v>
      </c>
      <c r="I251" s="5">
        <f ca="1">(USDJPY[[#This Row],[Price]]-OFFSET(USDJPY[[#This Row],[Price]],-1,0))/OFFSET(USDJPY[[#This Row],[Price]],-1,0)</f>
        <v>-5.91906324390411E-3</v>
      </c>
    </row>
    <row r="252" spans="4:9" x14ac:dyDescent="0.35">
      <c r="D252" vm="600">
        <f ca="1"/>
        <v>45707</v>
      </c>
      <c r="E252" vm="601">
        <f ca="1"/>
        <v>151.47</v>
      </c>
      <c r="G252" s="1" vm="86">
        <v>45618</v>
      </c>
      <c r="H252" s="3" vm="484">
        <v>154.74</v>
      </c>
      <c r="I252" s="5">
        <f ca="1">(USDJPY[[#This Row],[Price]]-OFFSET(USDJPY[[#This Row],[Price]],-1,0))/OFFSET(USDJPY[[#This Row],[Price]],-1,0)</f>
        <v>1.488576791146322E-3</v>
      </c>
    </row>
    <row r="253" spans="4:9" x14ac:dyDescent="0.35">
      <c r="D253" vm="602">
        <f ca="1"/>
        <v>45708</v>
      </c>
      <c r="E253" vm="603">
        <f ca="1"/>
        <v>149.63</v>
      </c>
      <c r="G253" s="1" vm="87">
        <v>45621</v>
      </c>
      <c r="H253" s="3" vm="485">
        <v>154.21</v>
      </c>
      <c r="I253" s="5">
        <f ca="1">(USDJPY[[#This Row],[Price]]-OFFSET(USDJPY[[#This Row],[Price]],-1,0))/OFFSET(USDJPY[[#This Row],[Price]],-1,0)</f>
        <v>-3.4251001680237888E-3</v>
      </c>
    </row>
    <row r="254" spans="4:9" x14ac:dyDescent="0.35">
      <c r="D254" vm="604">
        <f ca="1"/>
        <v>45709</v>
      </c>
      <c r="E254" vm="456">
        <f ca="1"/>
        <v>149.29</v>
      </c>
      <c r="G254" s="1" vm="88">
        <v>45622</v>
      </c>
      <c r="H254" s="3" vm="486">
        <v>153.1</v>
      </c>
      <c r="I254" s="5">
        <f ca="1">(USDJPY[[#This Row],[Price]]-OFFSET(USDJPY[[#This Row],[Price]],-1,0))/OFFSET(USDJPY[[#This Row],[Price]],-1,0)</f>
        <v>-7.1979767849037904E-3</v>
      </c>
    </row>
    <row r="255" spans="4:9" x14ac:dyDescent="0.35">
      <c r="D255" vm="605">
        <f ca="1"/>
        <v>45712</v>
      </c>
      <c r="E255" vm="606">
        <f ca="1"/>
        <v>149.71</v>
      </c>
      <c r="G255" s="1" vm="89">
        <v>45623</v>
      </c>
      <c r="H255" s="3" vm="487">
        <v>151.1</v>
      </c>
      <c r="I255" s="5">
        <f ca="1">(USDJPY[[#This Row],[Price]]-OFFSET(USDJPY[[#This Row],[Price]],-1,0))/OFFSET(USDJPY[[#This Row],[Price]],-1,0)</f>
        <v>-1.3063357282821686E-2</v>
      </c>
    </row>
    <row r="256" spans="4:9" x14ac:dyDescent="0.35">
      <c r="G256" s="1" vm="90">
        <v>45624</v>
      </c>
      <c r="H256" s="3" vm="488">
        <v>151.54</v>
      </c>
      <c r="I256" s="5">
        <f ca="1">(USDJPY[[#This Row],[Price]]-OFFSET(USDJPY[[#This Row],[Price]],-1,0))/OFFSET(USDJPY[[#This Row],[Price]],-1,0)</f>
        <v>2.9119788219721891E-3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9932-7C50-483C-A7FF-0C6F30F6F93A}">
  <sheetPr codeName="Sheet57"/>
  <dimension ref="A1:I256"/>
  <sheetViews>
    <sheetView workbookViewId="0">
      <selection activeCell="G2" sqref="G2"/>
    </sheetView>
  </sheetViews>
  <sheetFormatPr defaultRowHeight="14.5" x14ac:dyDescent="0.35"/>
  <cols>
    <col min="2" max="2" width="10.453125" bestFit="1" customWidth="1"/>
    <col min="4" max="4" width="10.453125" bestFit="1" customWidth="1"/>
    <col min="7" max="7" width="10.26953125" customWidth="1"/>
  </cols>
  <sheetData>
    <row r="1" spans="1:9" x14ac:dyDescent="0.35">
      <c r="A1" t="s">
        <v>0</v>
      </c>
      <c r="B1" t="s">
        <v>5</v>
      </c>
      <c r="D1" t="str" cm="1">
        <f t="array" aca="1" ref="D1:E255" ca="1">_xlfn.STOCKHISTORY(B1,B2,B3)</f>
        <v>Date</v>
      </c>
      <c r="E1" t="str">
        <f ca="1"/>
        <v>Close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f ca="1">WORKDAY(B3,-255)</f>
        <v>45357</v>
      </c>
      <c r="D2" vm="151">
        <f ca="1"/>
        <v>45357</v>
      </c>
      <c r="E2" vm="607">
        <f ca="1"/>
        <v>1.0896999999999999</v>
      </c>
      <c r="G2" s="1" vm="254">
        <v>45268</v>
      </c>
      <c r="H2" s="4" vm="608">
        <v>1.0761000000000001</v>
      </c>
      <c r="I2" s="5" t="e">
        <f ca="1">(EURUSD[[#This Row],[Price]]-OFFSET(EURUSD[[#This Row],[Price]],-1,0))/OFFSET(EURUSD[[#This Row],[Price]],-1,0)</f>
        <v>#VALUE!</v>
      </c>
    </row>
    <row r="3" spans="1:9" x14ac:dyDescent="0.35">
      <c r="A3" t="s">
        <v>2</v>
      </c>
      <c r="B3" s="2">
        <f ca="1">TODAY()</f>
        <v>45714</v>
      </c>
      <c r="D3" vm="152">
        <f ca="1"/>
        <v>45358</v>
      </c>
      <c r="E3" vm="609">
        <f ca="1"/>
        <v>1.0946</v>
      </c>
      <c r="G3" s="1" vm="257">
        <v>45271</v>
      </c>
      <c r="H3" s="4" vm="608">
        <v>1.0761000000000001</v>
      </c>
      <c r="I3" s="5">
        <f ca="1">(EURUSD[[#This Row],[Price]]-OFFSET(EURUSD[[#This Row],[Price]],-1,0))/OFFSET(EURUSD[[#This Row],[Price]],-1,0)</f>
        <v>0</v>
      </c>
    </row>
    <row r="4" spans="1:9" x14ac:dyDescent="0.35">
      <c r="D4" vm="153">
        <f ca="1"/>
        <v>45359</v>
      </c>
      <c r="E4" vm="610">
        <f ca="1"/>
        <v>1.0936999999999999</v>
      </c>
      <c r="G4" s="1" vm="260">
        <v>45272</v>
      </c>
      <c r="H4" s="4" vm="611">
        <v>1.0791999999999999</v>
      </c>
      <c r="I4" s="5">
        <f ca="1">(EURUSD[[#This Row],[Price]]-OFFSET(EURUSD[[#This Row],[Price]],-1,0))/OFFSET(EURUSD[[#This Row],[Price]],-1,0)</f>
        <v>2.8807731623453959E-3</v>
      </c>
    </row>
    <row r="5" spans="1:9" x14ac:dyDescent="0.35">
      <c r="A5" t="s">
        <v>9</v>
      </c>
      <c r="D5" vm="154">
        <f ca="1"/>
        <v>45362</v>
      </c>
      <c r="E5" vm="612">
        <f ca="1"/>
        <v>1.0926</v>
      </c>
      <c r="G5" s="1" vm="91">
        <v>45273</v>
      </c>
      <c r="H5" s="4" vm="613">
        <v>1.0872999999999999</v>
      </c>
      <c r="I5" s="5">
        <f ca="1">(EURUSD[[#This Row],[Price]]-OFFSET(EURUSD[[#This Row],[Price]],-1,0))/OFFSET(EURUSD[[#This Row],[Price]],-1,0)</f>
        <v>7.5055596738324657E-3</v>
      </c>
    </row>
    <row r="6" spans="1:9" x14ac:dyDescent="0.35">
      <c r="A6" t="s">
        <v>10</v>
      </c>
      <c r="B6" s="6">
        <f ca="1">AVERAGE(OFFSET(EURUSD[[#Headers],[Change %]],COUNTA(EURUSD[Change %])-252+1,0,252,1))</f>
        <v>-8.1817353588228798E-5</v>
      </c>
      <c r="D6" vm="155">
        <f ca="1"/>
        <v>45363</v>
      </c>
      <c r="E6" vm="614">
        <f ca="1"/>
        <v>1.0924</v>
      </c>
      <c r="G6" s="1" vm="92">
        <v>45274</v>
      </c>
      <c r="H6" s="4" vm="615">
        <v>1.0991</v>
      </c>
      <c r="I6" s="5">
        <f ca="1">(EURUSD[[#This Row],[Price]]-OFFSET(EURUSD[[#This Row],[Price]],-1,0))/OFFSET(EURUSD[[#This Row],[Price]],-1,0)</f>
        <v>1.0852570587694319E-2</v>
      </c>
    </row>
    <row r="7" spans="1:9" x14ac:dyDescent="0.35">
      <c r="A7" t="s">
        <v>11</v>
      </c>
      <c r="B7" s="6">
        <f ca="1">_xlfn.STDEV.S(OFFSET(EURUSD[[#Headers],[Change %]],COUNTA(EURUSD[Change %])-252+1,0,252,1))</f>
        <v>3.7596630733027093E-3</v>
      </c>
      <c r="D7" vm="156">
        <f ca="1"/>
        <v>45364</v>
      </c>
      <c r="E7" vm="609">
        <f ca="1"/>
        <v>1.0946</v>
      </c>
      <c r="G7" s="1" vm="93">
        <v>45275</v>
      </c>
      <c r="H7" s="4" vm="616">
        <v>1.0893999999999999</v>
      </c>
      <c r="I7" s="5">
        <f ca="1">(EURUSD[[#This Row],[Price]]-OFFSET(EURUSD[[#This Row],[Price]],-1,0))/OFFSET(EURUSD[[#This Row],[Price]],-1,0)</f>
        <v>-8.8254026021290528E-3</v>
      </c>
    </row>
    <row r="8" spans="1:9" x14ac:dyDescent="0.35">
      <c r="A8" t="s">
        <v>12</v>
      </c>
      <c r="B8" s="6">
        <f ca="1">_xlfn.VAR.S(OFFSET(EURUSD[[#Headers],[Change %]],COUNTA(EURUSD[Change %])-252+1,0,252,1))</f>
        <v>1.4135066424755974E-5</v>
      </c>
      <c r="D8" vm="157">
        <f ca="1"/>
        <v>45365</v>
      </c>
      <c r="E8" vm="617">
        <f ca="1"/>
        <v>1.0881000000000001</v>
      </c>
      <c r="G8" s="1" vm="94">
        <v>45278</v>
      </c>
      <c r="H8" s="4" vm="618">
        <v>1.0922000000000001</v>
      </c>
      <c r="I8" s="5">
        <f ca="1">(EURUSD[[#This Row],[Price]]-OFFSET(EURUSD[[#This Row],[Price]],-1,0))/OFFSET(EURUSD[[#This Row],[Price]],-1,0)</f>
        <v>2.5702221406279932E-3</v>
      </c>
    </row>
    <row r="9" spans="1:9" x14ac:dyDescent="0.35">
      <c r="D9" vm="158">
        <f ca="1"/>
        <v>45366</v>
      </c>
      <c r="E9" vm="619">
        <f ca="1"/>
        <v>1.0887</v>
      </c>
      <c r="G9" s="1" vm="95">
        <v>45279</v>
      </c>
      <c r="H9" s="4" vm="620">
        <v>1.0980000000000001</v>
      </c>
      <c r="I9" s="5">
        <f ca="1">(EURUSD[[#This Row],[Price]]-OFFSET(EURUSD[[#This Row],[Price]],-1,0))/OFFSET(EURUSD[[#This Row],[Price]],-1,0)</f>
        <v>5.3103827137887085E-3</v>
      </c>
    </row>
    <row r="10" spans="1:9" x14ac:dyDescent="0.35">
      <c r="A10" t="s">
        <v>13</v>
      </c>
      <c r="D10" vm="159">
        <f ca="1"/>
        <v>45369</v>
      </c>
      <c r="E10" vm="621">
        <f ca="1"/>
        <v>1.0871</v>
      </c>
      <c r="G10" s="1" vm="96">
        <v>45280</v>
      </c>
      <c r="H10" s="4" vm="622">
        <v>1.0938000000000001</v>
      </c>
      <c r="I10" s="5">
        <f ca="1">(EURUSD[[#This Row],[Price]]-OFFSET(EURUSD[[#This Row],[Price]],-1,0))/OFFSET(EURUSD[[#This Row],[Price]],-1,0)</f>
        <v>-3.825136612021841E-3</v>
      </c>
    </row>
    <row r="11" spans="1:9" x14ac:dyDescent="0.35">
      <c r="A11" t="s">
        <v>10</v>
      </c>
      <c r="B11" s="6">
        <f ca="1">AVERAGE(OFFSET(EURUSD[[#Headers],[Change %]],COUNTA(EURUSD[Change %])-90+1,0,90,1))</f>
        <v>-2.9288629453233403E-4</v>
      </c>
      <c r="D11" vm="160">
        <f ca="1"/>
        <v>45370</v>
      </c>
      <c r="E11" vm="623">
        <f ca="1"/>
        <v>1.0865</v>
      </c>
      <c r="G11" s="1" vm="97">
        <v>45281</v>
      </c>
      <c r="H11" s="4" vm="624">
        <v>1.1008</v>
      </c>
      <c r="I11" s="5">
        <f ca="1">(EURUSD[[#This Row],[Price]]-OFFSET(EURUSD[[#This Row],[Price]],-1,0))/OFFSET(EURUSD[[#This Row],[Price]],-1,0)</f>
        <v>6.3997074419454144E-3</v>
      </c>
    </row>
    <row r="12" spans="1:9" x14ac:dyDescent="0.35">
      <c r="A12" t="s">
        <v>11</v>
      </c>
      <c r="B12" s="6">
        <f ca="1">_xlfn.STDEV.S(OFFSET(EURUSD[[#Headers],[Change %]],COUNTA(EURUSD[Change %])-90+1,0,90,1))</f>
        <v>4.335730979978524E-3</v>
      </c>
      <c r="D12" vm="161">
        <f ca="1"/>
        <v>45371</v>
      </c>
      <c r="E12" vm="625">
        <f ca="1"/>
        <v>1.0918000000000001</v>
      </c>
      <c r="G12" s="1" vm="98">
        <v>45282</v>
      </c>
      <c r="H12" s="4" vm="626">
        <v>1.101</v>
      </c>
      <c r="I12" s="5">
        <f ca="1">(EURUSD[[#This Row],[Price]]-OFFSET(EURUSD[[#This Row],[Price]],-1,0))/OFFSET(EURUSD[[#This Row],[Price]],-1,0)</f>
        <v>1.816860465116079E-4</v>
      </c>
    </row>
    <row r="13" spans="1:9" x14ac:dyDescent="0.35">
      <c r="A13" t="s">
        <v>12</v>
      </c>
      <c r="B13" s="6">
        <f ca="1">_xlfn.VAR.S(OFFSET(EURUSD[[#Headers],[Change %]],COUNTA(EURUSD[Change %])-90+1,0,90,1))</f>
        <v>1.8798563130745531E-5</v>
      </c>
      <c r="D13" vm="162">
        <f ca="1"/>
        <v>45372</v>
      </c>
      <c r="E13" vm="627">
        <f ca="1"/>
        <v>1.0860000000000001</v>
      </c>
      <c r="G13" s="1" vm="99">
        <v>45285</v>
      </c>
      <c r="H13" s="4" vm="628">
        <v>1.1007</v>
      </c>
      <c r="I13" s="5">
        <f ca="1">(EURUSD[[#This Row],[Price]]-OFFSET(EURUSD[[#This Row],[Price]],-1,0))/OFFSET(EURUSD[[#This Row],[Price]],-1,0)</f>
        <v>-2.7247956403266753E-4</v>
      </c>
    </row>
    <row r="14" spans="1:9" x14ac:dyDescent="0.35">
      <c r="D14" vm="163">
        <f ca="1"/>
        <v>45373</v>
      </c>
      <c r="E14" vm="629">
        <f ca="1"/>
        <v>1.0805</v>
      </c>
      <c r="G14" s="1" vm="100">
        <v>45286</v>
      </c>
      <c r="H14" s="4" vm="630">
        <v>1.1042000000000001</v>
      </c>
      <c r="I14" s="5">
        <f ca="1">(EURUSD[[#This Row],[Price]]-OFFSET(EURUSD[[#This Row],[Price]],-1,0))/OFFSET(EURUSD[[#This Row],[Price]],-1,0)</f>
        <v>3.1797946761152524E-3</v>
      </c>
    </row>
    <row r="15" spans="1:9" x14ac:dyDescent="0.35">
      <c r="D15" vm="164">
        <f ca="1"/>
        <v>45376</v>
      </c>
      <c r="E15" vm="631">
        <f ca="1"/>
        <v>1.0835999999999999</v>
      </c>
      <c r="G15" s="1" vm="101">
        <v>45287</v>
      </c>
      <c r="H15" s="4" vm="632">
        <v>1.1103000000000001</v>
      </c>
      <c r="I15" s="5">
        <f ca="1">(EURUSD[[#This Row],[Price]]-OFFSET(EURUSD[[#This Row],[Price]],-1,0))/OFFSET(EURUSD[[#This Row],[Price]],-1,0)</f>
        <v>5.5243615287085615E-3</v>
      </c>
    </row>
    <row r="16" spans="1:9" x14ac:dyDescent="0.35">
      <c r="D16" vm="165">
        <f ca="1"/>
        <v>45377</v>
      </c>
      <c r="E16" vm="633">
        <f ca="1"/>
        <v>1.083</v>
      </c>
      <c r="G16" s="1" vm="102">
        <v>45288</v>
      </c>
      <c r="H16" s="4" vm="634">
        <v>1.1059000000000001</v>
      </c>
      <c r="I16" s="5">
        <f ca="1">(EURUSD[[#This Row],[Price]]-OFFSET(EURUSD[[#This Row],[Price]],-1,0))/OFFSET(EURUSD[[#This Row],[Price]],-1,0)</f>
        <v>-3.9628929118255959E-3</v>
      </c>
    </row>
    <row r="17" spans="4:9" x14ac:dyDescent="0.35">
      <c r="D17" vm="166">
        <f ca="1"/>
        <v>45378</v>
      </c>
      <c r="E17" vm="635">
        <f ca="1"/>
        <v>1.0826</v>
      </c>
      <c r="G17" s="1" vm="103">
        <v>45289</v>
      </c>
      <c r="H17" s="4" vm="636">
        <v>1.1035999999999999</v>
      </c>
      <c r="I17" s="5">
        <f ca="1">(EURUSD[[#This Row],[Price]]-OFFSET(EURUSD[[#This Row],[Price]],-1,0))/OFFSET(EURUSD[[#This Row],[Price]],-1,0)</f>
        <v>-2.0797540464781539E-3</v>
      </c>
    </row>
    <row r="18" spans="4:9" x14ac:dyDescent="0.35">
      <c r="D18" vm="167">
        <f ca="1"/>
        <v>45379</v>
      </c>
      <c r="E18" vm="637">
        <f ca="1"/>
        <v>1.0787</v>
      </c>
      <c r="G18" s="1" vm="104">
        <v>45292</v>
      </c>
      <c r="H18" s="4" vm="638">
        <v>1.1044</v>
      </c>
      <c r="I18" s="5">
        <f ca="1">(EURUSD[[#This Row],[Price]]-OFFSET(EURUSD[[#This Row],[Price]],-1,0))/OFFSET(EURUSD[[#This Row],[Price]],-1,0)</f>
        <v>7.249003262052682E-4</v>
      </c>
    </row>
    <row r="19" spans="4:9" x14ac:dyDescent="0.35">
      <c r="D19" vm="168">
        <f ca="1"/>
        <v>45380</v>
      </c>
      <c r="E19" vm="639">
        <f ca="1"/>
        <v>1.0792999999999999</v>
      </c>
      <c r="G19" s="1" vm="105">
        <v>45293</v>
      </c>
      <c r="H19" s="4" vm="640">
        <v>1.0947</v>
      </c>
      <c r="I19" s="5">
        <f ca="1">(EURUSD[[#This Row],[Price]]-OFFSET(EURUSD[[#This Row],[Price]],-1,0))/OFFSET(EURUSD[[#This Row],[Price]],-1,0)</f>
        <v>-8.7830496197030435E-3</v>
      </c>
    </row>
    <row r="20" spans="4:9" x14ac:dyDescent="0.35">
      <c r="D20" vm="169">
        <f ca="1"/>
        <v>45383</v>
      </c>
      <c r="E20" vm="641">
        <f ca="1"/>
        <v>1.0743</v>
      </c>
      <c r="G20" s="1" vm="106">
        <v>45294</v>
      </c>
      <c r="H20" s="4" vm="642">
        <v>1.0921000000000001</v>
      </c>
      <c r="I20" s="5">
        <f ca="1">(EURUSD[[#This Row],[Price]]-OFFSET(EURUSD[[#This Row],[Price]],-1,0))/OFFSET(EURUSD[[#This Row],[Price]],-1,0)</f>
        <v>-2.375079930574528E-3</v>
      </c>
    </row>
    <row r="21" spans="4:9" x14ac:dyDescent="0.35">
      <c r="D21" vm="170">
        <f ca="1"/>
        <v>45384</v>
      </c>
      <c r="E21" vm="643">
        <f ca="1"/>
        <v>1.0768</v>
      </c>
      <c r="G21" s="1" vm="107">
        <v>45295</v>
      </c>
      <c r="H21" s="4" vm="644">
        <v>1.0943000000000001</v>
      </c>
      <c r="I21" s="5">
        <f ca="1">(EURUSD[[#This Row],[Price]]-OFFSET(EURUSD[[#This Row],[Price]],-1,0))/OFFSET(EURUSD[[#This Row],[Price]],-1,0)</f>
        <v>2.0144675396025816E-3</v>
      </c>
    </row>
    <row r="22" spans="4:9" x14ac:dyDescent="0.35">
      <c r="D22" vm="171">
        <f ca="1"/>
        <v>45385</v>
      </c>
      <c r="E22" vm="645">
        <f ca="1"/>
        <v>1.0834999999999999</v>
      </c>
      <c r="G22" s="1" vm="108">
        <v>45296</v>
      </c>
      <c r="H22" s="4" vm="646">
        <v>1.0941000000000001</v>
      </c>
      <c r="I22" s="5">
        <f ca="1">(EURUSD[[#This Row],[Price]]-OFFSET(EURUSD[[#This Row],[Price]],-1,0))/OFFSET(EURUSD[[#This Row],[Price]],-1,0)</f>
        <v>-1.8276523805170242E-4</v>
      </c>
    </row>
    <row r="23" spans="4:9" x14ac:dyDescent="0.35">
      <c r="D23" vm="172">
        <f ca="1"/>
        <v>45386</v>
      </c>
      <c r="E23" vm="645">
        <f ca="1"/>
        <v>1.0834999999999999</v>
      </c>
      <c r="G23" s="1" vm="109">
        <v>45299</v>
      </c>
      <c r="H23" s="4" vm="647">
        <v>1.0949</v>
      </c>
      <c r="I23" s="5">
        <f ca="1">(EURUSD[[#This Row],[Price]]-OFFSET(EURUSD[[#This Row],[Price]],-1,0))/OFFSET(EURUSD[[#This Row],[Price]],-1,0)</f>
        <v>7.3119458915995965E-4</v>
      </c>
    </row>
    <row r="24" spans="4:9" x14ac:dyDescent="0.35">
      <c r="D24" vm="173">
        <f ca="1"/>
        <v>45387</v>
      </c>
      <c r="E24" vm="645">
        <f ca="1"/>
        <v>1.0834999999999999</v>
      </c>
      <c r="G24" s="1" vm="110">
        <v>45300</v>
      </c>
      <c r="H24" s="4" vm="648">
        <v>1.0931</v>
      </c>
      <c r="I24" s="5">
        <f ca="1">(EURUSD[[#This Row],[Price]]-OFFSET(EURUSD[[#This Row],[Price]],-1,0))/OFFSET(EURUSD[[#This Row],[Price]],-1,0)</f>
        <v>-1.6439857521235034E-3</v>
      </c>
    </row>
    <row r="25" spans="4:9" x14ac:dyDescent="0.35">
      <c r="D25" vm="174">
        <f ca="1"/>
        <v>45390</v>
      </c>
      <c r="E25" vm="649">
        <f ca="1"/>
        <v>1.0858000000000001</v>
      </c>
      <c r="G25" s="1" vm="111">
        <v>45301</v>
      </c>
      <c r="H25" s="4" vm="650">
        <v>1.0971</v>
      </c>
      <c r="I25" s="5">
        <f ca="1">(EURUSD[[#This Row],[Price]]-OFFSET(EURUSD[[#This Row],[Price]],-1,0))/OFFSET(EURUSD[[#This Row],[Price]],-1,0)</f>
        <v>3.6593175372793009E-3</v>
      </c>
    </row>
    <row r="26" spans="4:9" x14ac:dyDescent="0.35">
      <c r="D26" vm="175">
        <f ca="1"/>
        <v>45391</v>
      </c>
      <c r="E26" vm="651">
        <f ca="1"/>
        <v>1.0854999999999999</v>
      </c>
      <c r="G26" s="1" vm="112">
        <v>45302</v>
      </c>
      <c r="H26" s="4" vm="652">
        <v>1.097</v>
      </c>
      <c r="I26" s="5">
        <f ca="1">(EURUSD[[#This Row],[Price]]-OFFSET(EURUSD[[#This Row],[Price]],-1,0))/OFFSET(EURUSD[[#This Row],[Price]],-1,0)</f>
        <v>-9.114939385652082E-5</v>
      </c>
    </row>
    <row r="27" spans="4:9" x14ac:dyDescent="0.35">
      <c r="D27" vm="176">
        <f ca="1"/>
        <v>45392</v>
      </c>
      <c r="E27" vm="653">
        <f ca="1"/>
        <v>1.0742</v>
      </c>
      <c r="G27" s="1" vm="113">
        <v>45303</v>
      </c>
      <c r="H27" s="4" vm="647">
        <v>1.0949</v>
      </c>
      <c r="I27" s="5">
        <f ca="1">(EURUSD[[#This Row],[Price]]-OFFSET(EURUSD[[#This Row],[Price]],-1,0))/OFFSET(EURUSD[[#This Row],[Price]],-1,0)</f>
        <v>-1.9143117593436562E-3</v>
      </c>
    </row>
    <row r="28" spans="4:9" x14ac:dyDescent="0.35">
      <c r="D28" vm="177">
        <f ca="1"/>
        <v>45393</v>
      </c>
      <c r="E28" vm="654">
        <f ca="1"/>
        <v>1.0724</v>
      </c>
      <c r="G28" s="1" vm="114">
        <v>45306</v>
      </c>
      <c r="H28" s="4" vm="655">
        <v>1.0948</v>
      </c>
      <c r="I28" s="5">
        <f ca="1">(EURUSD[[#This Row],[Price]]-OFFSET(EURUSD[[#This Row],[Price]],-1,0))/OFFSET(EURUSD[[#This Row],[Price]],-1,0)</f>
        <v>-9.1332541784627807E-5</v>
      </c>
    </row>
    <row r="29" spans="4:9" x14ac:dyDescent="0.35">
      <c r="D29" vm="178">
        <f ca="1"/>
        <v>45394</v>
      </c>
      <c r="E29" vm="656">
        <f ca="1"/>
        <v>1.0642</v>
      </c>
      <c r="G29" s="1" vm="115">
        <v>45307</v>
      </c>
      <c r="H29" s="4" vm="657">
        <v>1.0873999999999999</v>
      </c>
      <c r="I29" s="5">
        <f ca="1">(EURUSD[[#This Row],[Price]]-OFFSET(EURUSD[[#This Row],[Price]],-1,0))/OFFSET(EURUSD[[#This Row],[Price]],-1,0)</f>
        <v>-6.7592254293022229E-3</v>
      </c>
    </row>
    <row r="30" spans="4:9" x14ac:dyDescent="0.35">
      <c r="D30" vm="179">
        <f ca="1"/>
        <v>45397</v>
      </c>
      <c r="E30" vm="658">
        <f ca="1"/>
        <v>1.0622</v>
      </c>
      <c r="G30" s="1" vm="116">
        <v>45308</v>
      </c>
      <c r="H30" s="4" vm="617">
        <v>1.0881000000000001</v>
      </c>
      <c r="I30" s="5">
        <f ca="1">(EURUSD[[#This Row],[Price]]-OFFSET(EURUSD[[#This Row],[Price]],-1,0))/OFFSET(EURUSD[[#This Row],[Price]],-1,0)</f>
        <v>6.4373735515922844E-4</v>
      </c>
    </row>
    <row r="31" spans="4:9" x14ac:dyDescent="0.35">
      <c r="D31" vm="180">
        <f ca="1"/>
        <v>45398</v>
      </c>
      <c r="E31" vm="659">
        <f ca="1"/>
        <v>1.0617000000000001</v>
      </c>
      <c r="G31" s="1" vm="117">
        <v>45309</v>
      </c>
      <c r="H31" s="4" vm="657">
        <v>1.0873999999999999</v>
      </c>
      <c r="I31" s="5">
        <f ca="1">(EURUSD[[#This Row],[Price]]-OFFSET(EURUSD[[#This Row],[Price]],-1,0))/OFFSET(EURUSD[[#This Row],[Price]],-1,0)</f>
        <v>-6.4332322396851843E-4</v>
      </c>
    </row>
    <row r="32" spans="4:9" x14ac:dyDescent="0.35">
      <c r="D32" vm="181">
        <f ca="1"/>
        <v>45399</v>
      </c>
      <c r="E32" vm="660">
        <f ca="1"/>
        <v>1.0670999999999999</v>
      </c>
      <c r="G32" s="1" vm="118">
        <v>45310</v>
      </c>
      <c r="H32" s="4" vm="607">
        <v>1.0896999999999999</v>
      </c>
      <c r="I32" s="5">
        <f ca="1">(EURUSD[[#This Row],[Price]]-OFFSET(EURUSD[[#This Row],[Price]],-1,0))/OFFSET(EURUSD[[#This Row],[Price]],-1,0)</f>
        <v>2.1151370240941412E-3</v>
      </c>
    </row>
    <row r="33" spans="4:9" x14ac:dyDescent="0.35">
      <c r="D33" vm="182">
        <f ca="1"/>
        <v>45400</v>
      </c>
      <c r="E33" vm="661">
        <f ca="1"/>
        <v>1.0643</v>
      </c>
      <c r="G33" s="1" vm="119">
        <v>45313</v>
      </c>
      <c r="H33" s="4" vm="617">
        <v>1.0881000000000001</v>
      </c>
      <c r="I33" s="5">
        <f ca="1">(EURUSD[[#This Row],[Price]]-OFFSET(EURUSD[[#This Row],[Price]],-1,0))/OFFSET(EURUSD[[#This Row],[Price]],-1,0)</f>
        <v>-1.4682940258785207E-3</v>
      </c>
    </row>
    <row r="34" spans="4:9" x14ac:dyDescent="0.35">
      <c r="D34" vm="183">
        <f ca="1"/>
        <v>45401</v>
      </c>
      <c r="E34" vm="662">
        <f ca="1"/>
        <v>1.0653999999999999</v>
      </c>
      <c r="G34" s="1" vm="120">
        <v>45314</v>
      </c>
      <c r="H34" s="4" vm="663">
        <v>1.0851</v>
      </c>
      <c r="I34" s="5">
        <f ca="1">(EURUSD[[#This Row],[Price]]-OFFSET(EURUSD[[#This Row],[Price]],-1,0))/OFFSET(EURUSD[[#This Row],[Price]],-1,0)</f>
        <v>-2.7570995312931842E-3</v>
      </c>
    </row>
    <row r="35" spans="4:9" x14ac:dyDescent="0.35">
      <c r="D35" vm="184">
        <f ca="1"/>
        <v>45404</v>
      </c>
      <c r="E35" vm="662">
        <f ca="1"/>
        <v>1.0653999999999999</v>
      </c>
      <c r="G35" s="1" vm="121">
        <v>45315</v>
      </c>
      <c r="H35" s="4" vm="664">
        <v>1.0883</v>
      </c>
      <c r="I35" s="5">
        <f ca="1">(EURUSD[[#This Row],[Price]]-OFFSET(EURUSD[[#This Row],[Price]],-1,0))/OFFSET(EURUSD[[#This Row],[Price]],-1,0)</f>
        <v>2.9490369551194284E-3</v>
      </c>
    </row>
    <row r="36" spans="4:9" x14ac:dyDescent="0.35">
      <c r="D36" vm="185">
        <f ca="1"/>
        <v>45405</v>
      </c>
      <c r="E36" vm="665">
        <f ca="1"/>
        <v>1.0699000000000001</v>
      </c>
      <c r="G36" s="1" vm="122">
        <v>45316</v>
      </c>
      <c r="H36" s="4" vm="666">
        <v>1.0846</v>
      </c>
      <c r="I36" s="5">
        <f ca="1">(EURUSD[[#This Row],[Price]]-OFFSET(EURUSD[[#This Row],[Price]],-1,0))/OFFSET(EURUSD[[#This Row],[Price]],-1,0)</f>
        <v>-3.3997978498576096E-3</v>
      </c>
    </row>
    <row r="37" spans="4:9" x14ac:dyDescent="0.35">
      <c r="D37" vm="186">
        <f ca="1"/>
        <v>45406</v>
      </c>
      <c r="E37" vm="667">
        <f ca="1"/>
        <v>1.0697000000000001</v>
      </c>
      <c r="G37" s="1" vm="123">
        <v>45317</v>
      </c>
      <c r="H37" s="4" vm="668">
        <v>1.0851999999999999</v>
      </c>
      <c r="I37" s="5">
        <f ca="1">(EURUSD[[#This Row],[Price]]-OFFSET(EURUSD[[#This Row],[Price]],-1,0))/OFFSET(EURUSD[[#This Row],[Price]],-1,0)</f>
        <v>5.5319933616073563E-4</v>
      </c>
    </row>
    <row r="38" spans="4:9" x14ac:dyDescent="0.35">
      <c r="D38" vm="187">
        <f ca="1"/>
        <v>45407</v>
      </c>
      <c r="E38" vm="669">
        <f ca="1"/>
        <v>1.0729</v>
      </c>
      <c r="G38" s="1" vm="124">
        <v>45320</v>
      </c>
      <c r="H38" s="4" vm="670">
        <v>1.0832999999999999</v>
      </c>
      <c r="I38" s="5">
        <f ca="1">(EURUSD[[#This Row],[Price]]-OFFSET(EURUSD[[#This Row],[Price]],-1,0))/OFFSET(EURUSD[[#This Row],[Price]],-1,0)</f>
        <v>-1.7508293402137974E-3</v>
      </c>
    </row>
    <row r="39" spans="4:9" x14ac:dyDescent="0.35">
      <c r="D39" vm="188">
        <f ca="1"/>
        <v>45408</v>
      </c>
      <c r="E39" vm="671">
        <f ca="1"/>
        <v>1.0691999999999999</v>
      </c>
      <c r="G39" s="1" vm="125">
        <v>45321</v>
      </c>
      <c r="H39" s="4" vm="672">
        <v>1.0840000000000001</v>
      </c>
      <c r="I39" s="5">
        <f ca="1">(EURUSD[[#This Row],[Price]]-OFFSET(EURUSD[[#This Row],[Price]],-1,0))/OFFSET(EURUSD[[#This Row],[Price]],-1,0)</f>
        <v>6.4617372842254688E-4</v>
      </c>
    </row>
    <row r="40" spans="4:9" x14ac:dyDescent="0.35">
      <c r="D40" vm="189">
        <f ca="1"/>
        <v>45411</v>
      </c>
      <c r="E40" vm="673">
        <f ca="1"/>
        <v>1.0719000000000001</v>
      </c>
      <c r="G40" s="1" vm="126">
        <v>45322</v>
      </c>
      <c r="H40" s="4" vm="674">
        <v>1.0815999999999999</v>
      </c>
      <c r="I40" s="5">
        <f ca="1">(EURUSD[[#This Row],[Price]]-OFFSET(EURUSD[[#This Row],[Price]],-1,0))/OFFSET(EURUSD[[#This Row],[Price]],-1,0)</f>
        <v>-2.2140221402215678E-3</v>
      </c>
    </row>
    <row r="41" spans="4:9" x14ac:dyDescent="0.35">
      <c r="D41" vm="190">
        <f ca="1"/>
        <v>45412</v>
      </c>
      <c r="E41" vm="675">
        <f ca="1"/>
        <v>1.0665</v>
      </c>
      <c r="G41" s="1" vm="127">
        <v>45323</v>
      </c>
      <c r="H41" s="4" vm="676">
        <v>1.0871999999999999</v>
      </c>
      <c r="I41" s="5">
        <f ca="1">(EURUSD[[#This Row],[Price]]-OFFSET(EURUSD[[#This Row],[Price]],-1,0))/OFFSET(EURUSD[[#This Row],[Price]],-1,0)</f>
        <v>5.1775147928994547E-3</v>
      </c>
    </row>
    <row r="42" spans="4:9" x14ac:dyDescent="0.35">
      <c r="D42" vm="191">
        <f ca="1"/>
        <v>45413</v>
      </c>
      <c r="E42" vm="677">
        <f ca="1"/>
        <v>1.0709</v>
      </c>
      <c r="G42" s="1" vm="128">
        <v>45324</v>
      </c>
      <c r="H42" s="4" vm="678">
        <v>1.0784</v>
      </c>
      <c r="I42" s="5">
        <f ca="1">(EURUSD[[#This Row],[Price]]-OFFSET(EURUSD[[#This Row],[Price]],-1,0))/OFFSET(EURUSD[[#This Row],[Price]],-1,0)</f>
        <v>-8.0941869021338483E-3</v>
      </c>
    </row>
    <row r="43" spans="4:9" x14ac:dyDescent="0.35">
      <c r="D43" vm="192">
        <f ca="1"/>
        <v>45414</v>
      </c>
      <c r="E43" vm="679">
        <f ca="1"/>
        <v>1.0725</v>
      </c>
      <c r="G43" s="1" vm="129">
        <v>45327</v>
      </c>
      <c r="H43" s="4" vm="680">
        <v>1.0741000000000001</v>
      </c>
      <c r="I43" s="5">
        <f ca="1">(EURUSD[[#This Row],[Price]]-OFFSET(EURUSD[[#This Row],[Price]],-1,0))/OFFSET(EURUSD[[#This Row],[Price]],-1,0)</f>
        <v>-3.9873887240355812E-3</v>
      </c>
    </row>
    <row r="44" spans="4:9" x14ac:dyDescent="0.35">
      <c r="D44" vm="193">
        <f ca="1"/>
        <v>45415</v>
      </c>
      <c r="E44" vm="681">
        <f ca="1"/>
        <v>1.0758000000000001</v>
      </c>
      <c r="G44" s="1" vm="130">
        <v>45328</v>
      </c>
      <c r="H44" s="4" vm="682">
        <v>1.0753999999999999</v>
      </c>
      <c r="I44" s="5">
        <f ca="1">(EURUSD[[#This Row],[Price]]-OFFSET(EURUSD[[#This Row],[Price]],-1,0))/OFFSET(EURUSD[[#This Row],[Price]],-1,0)</f>
        <v>1.2103156130712752E-3</v>
      </c>
    </row>
    <row r="45" spans="4:9" x14ac:dyDescent="0.35">
      <c r="D45" vm="194">
        <f ca="1"/>
        <v>45418</v>
      </c>
      <c r="E45" vm="643">
        <f ca="1"/>
        <v>1.0768</v>
      </c>
      <c r="G45" s="1" vm="131">
        <v>45329</v>
      </c>
      <c r="H45" s="4" vm="683">
        <v>1.0770999999999999</v>
      </c>
      <c r="I45" s="5">
        <f ca="1">(EURUSD[[#This Row],[Price]]-OFFSET(EURUSD[[#This Row],[Price]],-1,0))/OFFSET(EURUSD[[#This Row],[Price]],-1,0)</f>
        <v>1.580807141528766E-3</v>
      </c>
    </row>
    <row r="46" spans="4:9" x14ac:dyDescent="0.35">
      <c r="D46" vm="195">
        <f ca="1"/>
        <v>45419</v>
      </c>
      <c r="E46" vm="684">
        <f ca="1"/>
        <v>1.0751999999999999</v>
      </c>
      <c r="G46" s="1" vm="132">
        <v>45330</v>
      </c>
      <c r="H46" s="4" vm="685">
        <v>1.0775999999999999</v>
      </c>
      <c r="I46" s="5">
        <f ca="1">(EURUSD[[#This Row],[Price]]-OFFSET(EURUSD[[#This Row],[Price]],-1,0))/OFFSET(EURUSD[[#This Row],[Price]],-1,0)</f>
        <v>4.6420945130437748E-4</v>
      </c>
    </row>
    <row r="47" spans="4:9" x14ac:dyDescent="0.35">
      <c r="D47" vm="196">
        <f ca="1"/>
        <v>45420</v>
      </c>
      <c r="E47" vm="686">
        <f ca="1"/>
        <v>1.0745</v>
      </c>
      <c r="G47" s="1" vm="133">
        <v>45331</v>
      </c>
      <c r="H47" s="4" vm="687">
        <v>1.0782</v>
      </c>
      <c r="I47" s="5">
        <f ca="1">(EURUSD[[#This Row],[Price]]-OFFSET(EURUSD[[#This Row],[Price]],-1,0))/OFFSET(EURUSD[[#This Row],[Price]],-1,0)</f>
        <v>5.5679287305136977E-4</v>
      </c>
    </row>
    <row r="48" spans="4:9" x14ac:dyDescent="0.35">
      <c r="D48" vm="197">
        <f ca="1"/>
        <v>45421</v>
      </c>
      <c r="E48" vm="688">
        <f ca="1"/>
        <v>1.0781000000000001</v>
      </c>
      <c r="G48" s="1" vm="134">
        <v>45334</v>
      </c>
      <c r="H48" s="4" vm="683">
        <v>1.0770999999999999</v>
      </c>
      <c r="I48" s="5">
        <f ca="1">(EURUSD[[#This Row],[Price]]-OFFSET(EURUSD[[#This Row],[Price]],-1,0))/OFFSET(EURUSD[[#This Row],[Price]],-1,0)</f>
        <v>-1.0202188833241521E-3</v>
      </c>
    </row>
    <row r="49" spans="4:9" x14ac:dyDescent="0.35">
      <c r="D49" vm="198">
        <f ca="1"/>
        <v>45422</v>
      </c>
      <c r="E49" vm="689">
        <f ca="1"/>
        <v>1.0769</v>
      </c>
      <c r="G49" s="1" vm="135">
        <v>45335</v>
      </c>
      <c r="H49" s="4" vm="677">
        <v>1.0709</v>
      </c>
      <c r="I49" s="5">
        <f ca="1">(EURUSD[[#This Row],[Price]]-OFFSET(EURUSD[[#This Row],[Price]],-1,0))/OFFSET(EURUSD[[#This Row],[Price]],-1,0)</f>
        <v>-5.7561971961748986E-3</v>
      </c>
    </row>
    <row r="50" spans="4:9" x14ac:dyDescent="0.35">
      <c r="D50" vm="199">
        <f ca="1"/>
        <v>45425</v>
      </c>
      <c r="E50" vm="690">
        <f ca="1"/>
        <v>1.0788</v>
      </c>
      <c r="G50" s="1" vm="136">
        <v>45336</v>
      </c>
      <c r="H50" s="4" vm="679">
        <v>1.0725</v>
      </c>
      <c r="I50" s="5">
        <f ca="1">(EURUSD[[#This Row],[Price]]-OFFSET(EURUSD[[#This Row],[Price]],-1,0))/OFFSET(EURUSD[[#This Row],[Price]],-1,0)</f>
        <v>1.4940704080680231E-3</v>
      </c>
    </row>
    <row r="51" spans="4:9" x14ac:dyDescent="0.35">
      <c r="D51" vm="200">
        <f ca="1"/>
        <v>45426</v>
      </c>
      <c r="E51" vm="691">
        <f ca="1"/>
        <v>1.0818000000000001</v>
      </c>
      <c r="G51" s="1" vm="137">
        <v>45337</v>
      </c>
      <c r="H51" s="4" vm="683">
        <v>1.0770999999999999</v>
      </c>
      <c r="I51" s="5">
        <f ca="1">(EURUSD[[#This Row],[Price]]-OFFSET(EURUSD[[#This Row],[Price]],-1,0))/OFFSET(EURUSD[[#This Row],[Price]],-1,0)</f>
        <v>4.2890442890442309E-3</v>
      </c>
    </row>
    <row r="52" spans="4:9" x14ac:dyDescent="0.35">
      <c r="D52" vm="201">
        <f ca="1"/>
        <v>45427</v>
      </c>
      <c r="E52" vm="692">
        <f ca="1"/>
        <v>1.0882000000000001</v>
      </c>
      <c r="G52" s="1" vm="138">
        <v>45338</v>
      </c>
      <c r="H52" s="4" vm="693">
        <v>1.0773999999999999</v>
      </c>
      <c r="I52" s="5">
        <f ca="1">(EURUSD[[#This Row],[Price]]-OFFSET(EURUSD[[#This Row],[Price]],-1,0))/OFFSET(EURUSD[[#This Row],[Price]],-1,0)</f>
        <v>2.785256707826265E-4</v>
      </c>
    </row>
    <row r="53" spans="4:9" x14ac:dyDescent="0.35">
      <c r="D53" vm="202">
        <f ca="1"/>
        <v>45428</v>
      </c>
      <c r="E53" vm="623">
        <f ca="1"/>
        <v>1.0865</v>
      </c>
      <c r="G53" s="1" vm="139">
        <v>45341</v>
      </c>
      <c r="H53" s="4" vm="694">
        <v>1.0777000000000001</v>
      </c>
      <c r="I53" s="5">
        <f ca="1">(EURUSD[[#This Row],[Price]]-OFFSET(EURUSD[[#This Row],[Price]],-1,0))/OFFSET(EURUSD[[#This Row],[Price]],-1,0)</f>
        <v>2.7844811583459163E-4</v>
      </c>
    </row>
    <row r="54" spans="4:9" x14ac:dyDescent="0.35">
      <c r="D54" vm="203">
        <f ca="1"/>
        <v>45429</v>
      </c>
      <c r="E54" vm="695">
        <f ca="1"/>
        <v>1.087</v>
      </c>
      <c r="G54" s="1" vm="140">
        <v>45342</v>
      </c>
      <c r="H54" s="4" vm="696">
        <v>1.0803</v>
      </c>
      <c r="I54" s="5">
        <f ca="1">(EURUSD[[#This Row],[Price]]-OFFSET(EURUSD[[#This Row],[Price]],-1,0))/OFFSET(EURUSD[[#This Row],[Price]],-1,0)</f>
        <v>2.4125452352231004E-3</v>
      </c>
    </row>
    <row r="55" spans="4:9" x14ac:dyDescent="0.35">
      <c r="D55" vm="204">
        <f ca="1"/>
        <v>45432</v>
      </c>
      <c r="E55" vm="651">
        <f ca="1"/>
        <v>1.0854999999999999</v>
      </c>
      <c r="G55" s="1" vm="141">
        <v>45343</v>
      </c>
      <c r="H55" s="4" vm="697">
        <v>1.0817000000000001</v>
      </c>
      <c r="I55" s="5">
        <f ca="1">(EURUSD[[#This Row],[Price]]-OFFSET(EURUSD[[#This Row],[Price]],-1,0))/OFFSET(EURUSD[[#This Row],[Price]],-1,0)</f>
        <v>1.2959363139869182E-3</v>
      </c>
    </row>
    <row r="56" spans="4:9" x14ac:dyDescent="0.35">
      <c r="D56" vm="205">
        <f ca="1"/>
        <v>45433</v>
      </c>
      <c r="E56" vm="698">
        <f ca="1"/>
        <v>1.0853999999999999</v>
      </c>
      <c r="G56" s="1" vm="142">
        <v>45344</v>
      </c>
      <c r="H56" s="4" vm="699">
        <v>1.0823</v>
      </c>
      <c r="I56" s="5">
        <f ca="1">(EURUSD[[#This Row],[Price]]-OFFSET(EURUSD[[#This Row],[Price]],-1,0))/OFFSET(EURUSD[[#This Row],[Price]],-1,0)</f>
        <v>5.5468244430057672E-4</v>
      </c>
    </row>
    <row r="57" spans="4:9" x14ac:dyDescent="0.35">
      <c r="D57" vm="206">
        <f ca="1"/>
        <v>45434</v>
      </c>
      <c r="E57" vm="700">
        <f ca="1"/>
        <v>1.0821000000000001</v>
      </c>
      <c r="G57" s="1" vm="143">
        <v>45345</v>
      </c>
      <c r="H57" s="4" vm="691">
        <v>1.0818000000000001</v>
      </c>
      <c r="I57" s="5">
        <f ca="1">(EURUSD[[#This Row],[Price]]-OFFSET(EURUSD[[#This Row],[Price]],-1,0))/OFFSET(EURUSD[[#This Row],[Price]],-1,0)</f>
        <v>-4.6197911854379094E-4</v>
      </c>
    </row>
    <row r="58" spans="4:9" x14ac:dyDescent="0.35">
      <c r="D58" vm="207">
        <f ca="1"/>
        <v>45435</v>
      </c>
      <c r="E58" vm="701">
        <f ca="1"/>
        <v>1.0812999999999999</v>
      </c>
      <c r="G58" s="1" vm="144">
        <v>45348</v>
      </c>
      <c r="H58" s="4" vm="702">
        <v>1.0847</v>
      </c>
      <c r="I58" s="5">
        <f ca="1">(EURUSD[[#This Row],[Price]]-OFFSET(EURUSD[[#This Row],[Price]],-1,0))/OFFSET(EURUSD[[#This Row],[Price]],-1,0)</f>
        <v>2.6807173229801279E-3</v>
      </c>
    </row>
    <row r="59" spans="4:9" x14ac:dyDescent="0.35">
      <c r="D59" vm="208">
        <f ca="1"/>
        <v>45436</v>
      </c>
      <c r="E59" vm="703">
        <f ca="1"/>
        <v>1.0845</v>
      </c>
      <c r="G59" s="1" vm="145">
        <v>45349</v>
      </c>
      <c r="H59" s="4" vm="704">
        <v>1.0844</v>
      </c>
      <c r="I59" s="5">
        <f ca="1">(EURUSD[[#This Row],[Price]]-OFFSET(EURUSD[[#This Row],[Price]],-1,0))/OFFSET(EURUSD[[#This Row],[Price]],-1,0)</f>
        <v>-2.7657416797268087E-4</v>
      </c>
    </row>
    <row r="60" spans="4:9" x14ac:dyDescent="0.35">
      <c r="D60" vm="209">
        <f ca="1"/>
        <v>45439</v>
      </c>
      <c r="E60" vm="649">
        <f ca="1"/>
        <v>1.0858000000000001</v>
      </c>
      <c r="G60" s="1" vm="146">
        <v>45350</v>
      </c>
      <c r="H60" s="4" vm="631">
        <v>1.0835999999999999</v>
      </c>
      <c r="I60" s="5">
        <f ca="1">(EURUSD[[#This Row],[Price]]-OFFSET(EURUSD[[#This Row],[Price]],-1,0))/OFFSET(EURUSD[[#This Row],[Price]],-1,0)</f>
        <v>-7.3773515308016779E-4</v>
      </c>
    </row>
    <row r="61" spans="4:9" x14ac:dyDescent="0.35">
      <c r="D61" vm="210">
        <f ca="1"/>
        <v>45440</v>
      </c>
      <c r="E61" vm="651">
        <f ca="1"/>
        <v>1.0854999999999999</v>
      </c>
      <c r="G61" s="1" vm="147">
        <v>45351</v>
      </c>
      <c r="H61" s="4" vm="696">
        <v>1.0803</v>
      </c>
      <c r="I61" s="5">
        <f ca="1">(EURUSD[[#This Row],[Price]]-OFFSET(EURUSD[[#This Row],[Price]],-1,0))/OFFSET(EURUSD[[#This Row],[Price]],-1,0)</f>
        <v>-3.0454042081947755E-3</v>
      </c>
    </row>
    <row r="62" spans="4:9" x14ac:dyDescent="0.35">
      <c r="D62" vm="211">
        <f ca="1"/>
        <v>45441</v>
      </c>
      <c r="E62" vm="705">
        <f ca="1"/>
        <v>1.08</v>
      </c>
      <c r="G62" s="1" vm="148">
        <v>45352</v>
      </c>
      <c r="H62" s="4" vm="706">
        <v>1.0837000000000001</v>
      </c>
      <c r="I62" s="5">
        <f ca="1">(EURUSD[[#This Row],[Price]]-OFFSET(EURUSD[[#This Row],[Price]],-1,0))/OFFSET(EURUSD[[#This Row],[Price]],-1,0)</f>
        <v>3.1472739053967132E-3</v>
      </c>
    </row>
    <row r="63" spans="4:9" x14ac:dyDescent="0.35">
      <c r="D63" vm="212">
        <f ca="1"/>
        <v>45442</v>
      </c>
      <c r="E63" vm="707">
        <f ca="1"/>
        <v>1.0831999999999999</v>
      </c>
      <c r="G63" s="1" vm="149">
        <v>45355</v>
      </c>
      <c r="H63" s="4" vm="698">
        <v>1.0853999999999999</v>
      </c>
      <c r="I63" s="5">
        <f ca="1">(EURUSD[[#This Row],[Price]]-OFFSET(EURUSD[[#This Row],[Price]],-1,0))/OFFSET(EURUSD[[#This Row],[Price]],-1,0)</f>
        <v>1.5686998246745526E-3</v>
      </c>
    </row>
    <row r="64" spans="4:9" x14ac:dyDescent="0.35">
      <c r="D64" vm="213">
        <f ca="1"/>
        <v>45443</v>
      </c>
      <c r="E64" vm="708">
        <f ca="1"/>
        <v>1.0841000000000001</v>
      </c>
      <c r="G64" s="1" vm="150">
        <v>45356</v>
      </c>
      <c r="H64" s="4" vm="651">
        <v>1.0854999999999999</v>
      </c>
      <c r="I64" s="5">
        <f ca="1">(EURUSD[[#This Row],[Price]]-OFFSET(EURUSD[[#This Row],[Price]],-1,0))/OFFSET(EURUSD[[#This Row],[Price]],-1,0)</f>
        <v>9.2131932927942692E-5</v>
      </c>
    </row>
    <row r="65" spans="4:9" x14ac:dyDescent="0.35">
      <c r="D65" vm="214">
        <f ca="1"/>
        <v>45446</v>
      </c>
      <c r="E65" vm="709">
        <f ca="1"/>
        <v>1.0902000000000001</v>
      </c>
      <c r="G65" s="1" vm="151">
        <v>45357</v>
      </c>
      <c r="H65" s="4" vm="607">
        <v>1.0896999999999999</v>
      </c>
      <c r="I65" s="5">
        <f ca="1">(EURUSD[[#This Row],[Price]]-OFFSET(EURUSD[[#This Row],[Price]],-1,0))/OFFSET(EURUSD[[#This Row],[Price]],-1,0)</f>
        <v>3.8691847075080442E-3</v>
      </c>
    </row>
    <row r="66" spans="4:9" x14ac:dyDescent="0.35">
      <c r="D66" vm="215">
        <f ca="1"/>
        <v>45447</v>
      </c>
      <c r="E66" vm="710">
        <f ca="1"/>
        <v>1.0878000000000001</v>
      </c>
      <c r="G66" s="1" vm="152">
        <v>45358</v>
      </c>
      <c r="H66" s="4" vm="609">
        <v>1.0946</v>
      </c>
      <c r="I66" s="5">
        <f ca="1">(EURUSD[[#This Row],[Price]]-OFFSET(EURUSD[[#This Row],[Price]],-1,0))/OFFSET(EURUSD[[#This Row],[Price]],-1,0)</f>
        <v>4.4966504542535805E-3</v>
      </c>
    </row>
    <row r="67" spans="4:9" x14ac:dyDescent="0.35">
      <c r="D67" vm="216">
        <f ca="1"/>
        <v>45448</v>
      </c>
      <c r="E67" vm="711">
        <f ca="1"/>
        <v>1.0868</v>
      </c>
      <c r="G67" s="1" vm="153">
        <v>45359</v>
      </c>
      <c r="H67" s="4" vm="610">
        <v>1.0936999999999999</v>
      </c>
      <c r="I67" s="5">
        <f ca="1">(EURUSD[[#This Row],[Price]]-OFFSET(EURUSD[[#This Row],[Price]],-1,0))/OFFSET(EURUSD[[#This Row],[Price]],-1,0)</f>
        <v>-8.2221816188573257E-4</v>
      </c>
    </row>
    <row r="68" spans="4:9" x14ac:dyDescent="0.35">
      <c r="D68" vm="217">
        <f ca="1"/>
        <v>45449</v>
      </c>
      <c r="E68" vm="712">
        <f ca="1"/>
        <v>1.0888</v>
      </c>
      <c r="G68" s="1" vm="154">
        <v>45362</v>
      </c>
      <c r="H68" s="4" vm="612">
        <v>1.0926</v>
      </c>
      <c r="I68" s="5">
        <f ca="1">(EURUSD[[#This Row],[Price]]-OFFSET(EURUSD[[#This Row],[Price]],-1,0))/OFFSET(EURUSD[[#This Row],[Price]],-1,0)</f>
        <v>-1.0057602633262129E-3</v>
      </c>
    </row>
    <row r="69" spans="4:9" x14ac:dyDescent="0.35">
      <c r="D69" vm="218">
        <f ca="1"/>
        <v>45450</v>
      </c>
      <c r="E69" vm="705">
        <f ca="1"/>
        <v>1.08</v>
      </c>
      <c r="G69" s="1" vm="155">
        <v>45363</v>
      </c>
      <c r="H69" s="4" vm="614">
        <v>1.0924</v>
      </c>
      <c r="I69" s="5">
        <f ca="1">(EURUSD[[#This Row],[Price]]-OFFSET(EURUSD[[#This Row],[Price]],-1,0))/OFFSET(EURUSD[[#This Row],[Price]],-1,0)</f>
        <v>-1.8304960644332599E-4</v>
      </c>
    </row>
    <row r="70" spans="4:9" x14ac:dyDescent="0.35">
      <c r="D70" vm="219">
        <f ca="1"/>
        <v>45453</v>
      </c>
      <c r="E70" vm="713">
        <f ca="1"/>
        <v>1.0763</v>
      </c>
      <c r="G70" s="1" vm="156">
        <v>45364</v>
      </c>
      <c r="H70" s="4" vm="609">
        <v>1.0946</v>
      </c>
      <c r="I70" s="5">
        <f ca="1">(EURUSD[[#This Row],[Price]]-OFFSET(EURUSD[[#This Row],[Price]],-1,0))/OFFSET(EURUSD[[#This Row],[Price]],-1,0)</f>
        <v>2.0139143170999447E-3</v>
      </c>
    </row>
    <row r="71" spans="4:9" x14ac:dyDescent="0.35">
      <c r="D71" vm="220">
        <f ca="1"/>
        <v>45454</v>
      </c>
      <c r="E71" vm="714">
        <f ca="1"/>
        <v>1.0739000000000001</v>
      </c>
      <c r="G71" s="1" vm="157">
        <v>45365</v>
      </c>
      <c r="H71" s="4" vm="617">
        <v>1.0881000000000001</v>
      </c>
      <c r="I71" s="5">
        <f ca="1">(EURUSD[[#This Row],[Price]]-OFFSET(EURUSD[[#This Row],[Price]],-1,0))/OFFSET(EURUSD[[#This Row],[Price]],-1,0)</f>
        <v>-5.9382422802849904E-3</v>
      </c>
    </row>
    <row r="72" spans="4:9" x14ac:dyDescent="0.35">
      <c r="D72" vm="221">
        <f ca="1"/>
        <v>45455</v>
      </c>
      <c r="E72" vm="715">
        <f ca="1"/>
        <v>1.0807</v>
      </c>
      <c r="G72" s="1" vm="158">
        <v>45366</v>
      </c>
      <c r="H72" s="4" vm="619">
        <v>1.0887</v>
      </c>
      <c r="I72" s="5">
        <f ca="1">(EURUSD[[#This Row],[Price]]-OFFSET(EURUSD[[#This Row],[Price]],-1,0))/OFFSET(EURUSD[[#This Row],[Price]],-1,0)</f>
        <v>5.5141990625855522E-4</v>
      </c>
    </row>
    <row r="73" spans="4:9" x14ac:dyDescent="0.35">
      <c r="D73" vm="222">
        <f ca="1"/>
        <v>45456</v>
      </c>
      <c r="E73" vm="716">
        <f ca="1"/>
        <v>1.0734999999999999</v>
      </c>
      <c r="G73" s="1" vm="159">
        <v>45369</v>
      </c>
      <c r="H73" s="4" vm="621">
        <v>1.0871</v>
      </c>
      <c r="I73" s="5">
        <f ca="1">(EURUSD[[#This Row],[Price]]-OFFSET(EURUSD[[#This Row],[Price]],-1,0))/OFFSET(EURUSD[[#This Row],[Price]],-1,0)</f>
        <v>-1.4696426931202773E-3</v>
      </c>
    </row>
    <row r="74" spans="4:9" x14ac:dyDescent="0.35">
      <c r="D74" vm="223">
        <f ca="1"/>
        <v>45457</v>
      </c>
      <c r="E74" vm="717">
        <f ca="1"/>
        <v>1.07</v>
      </c>
      <c r="G74" s="1" vm="160">
        <v>45370</v>
      </c>
      <c r="H74" s="4" vm="623">
        <v>1.0865</v>
      </c>
      <c r="I74" s="5">
        <f ca="1">(EURUSD[[#This Row],[Price]]-OFFSET(EURUSD[[#This Row],[Price]],-1,0))/OFFSET(EURUSD[[#This Row],[Price]],-1,0)</f>
        <v>-5.5192714561671781E-4</v>
      </c>
    </row>
    <row r="75" spans="4:9" x14ac:dyDescent="0.35">
      <c r="D75" vm="224">
        <f ca="1"/>
        <v>45460</v>
      </c>
      <c r="E75" vm="718">
        <f ca="1"/>
        <v>1.0733999999999999</v>
      </c>
      <c r="G75" s="1" vm="161">
        <v>45371</v>
      </c>
      <c r="H75" s="4" vm="625">
        <v>1.0918000000000001</v>
      </c>
      <c r="I75" s="5">
        <f ca="1">(EURUSD[[#This Row],[Price]]-OFFSET(EURUSD[[#This Row],[Price]],-1,0))/OFFSET(EURUSD[[#This Row],[Price]],-1,0)</f>
        <v>4.8780487804878803E-3</v>
      </c>
    </row>
    <row r="76" spans="4:9" x14ac:dyDescent="0.35">
      <c r="D76" vm="225">
        <f ca="1"/>
        <v>45461</v>
      </c>
      <c r="E76" vm="719">
        <f ca="1"/>
        <v>1.0738000000000001</v>
      </c>
      <c r="G76" s="1" vm="162">
        <v>45372</v>
      </c>
      <c r="H76" s="4" vm="627">
        <v>1.0860000000000001</v>
      </c>
      <c r="I76" s="5">
        <f ca="1">(EURUSD[[#This Row],[Price]]-OFFSET(EURUSD[[#This Row],[Price]],-1,0))/OFFSET(EURUSD[[#This Row],[Price]],-1,0)</f>
        <v>-5.31232826525007E-3</v>
      </c>
    </row>
    <row r="77" spans="4:9" x14ac:dyDescent="0.35">
      <c r="D77" vm="226">
        <f ca="1"/>
        <v>45462</v>
      </c>
      <c r="E77" vm="653">
        <f ca="1"/>
        <v>1.0742</v>
      </c>
      <c r="G77" s="1" vm="163">
        <v>45373</v>
      </c>
      <c r="H77" s="4" vm="629">
        <v>1.0805</v>
      </c>
      <c r="I77" s="5">
        <f ca="1">(EURUSD[[#This Row],[Price]]-OFFSET(EURUSD[[#This Row],[Price]],-1,0))/OFFSET(EURUSD[[#This Row],[Price]],-1,0)</f>
        <v>-5.064456721915341E-3</v>
      </c>
    </row>
    <row r="78" spans="4:9" x14ac:dyDescent="0.35">
      <c r="D78" vm="227">
        <f ca="1"/>
        <v>45463</v>
      </c>
      <c r="E78" vm="717">
        <f ca="1"/>
        <v>1.07</v>
      </c>
      <c r="G78" s="1" vm="164">
        <v>45376</v>
      </c>
      <c r="H78" s="4" vm="631">
        <v>1.0835999999999999</v>
      </c>
      <c r="I78" s="5">
        <f ca="1">(EURUSD[[#This Row],[Price]]-OFFSET(EURUSD[[#This Row],[Price]],-1,0))/OFFSET(EURUSD[[#This Row],[Price]],-1,0)</f>
        <v>2.8690421101340868E-3</v>
      </c>
    </row>
    <row r="79" spans="4:9" x14ac:dyDescent="0.35">
      <c r="D79" vm="228">
        <f ca="1"/>
        <v>45464</v>
      </c>
      <c r="E79" vm="720">
        <f ca="1"/>
        <v>1.0690999999999999</v>
      </c>
      <c r="G79" s="1" vm="165">
        <v>45377</v>
      </c>
      <c r="H79" s="4" vm="633">
        <v>1.083</v>
      </c>
      <c r="I79" s="5">
        <f ca="1">(EURUSD[[#This Row],[Price]]-OFFSET(EURUSD[[#This Row],[Price]],-1,0))/OFFSET(EURUSD[[#This Row],[Price]],-1,0)</f>
        <v>-5.5370985603537648E-4</v>
      </c>
    </row>
    <row r="80" spans="4:9" x14ac:dyDescent="0.35">
      <c r="D80" vm="229">
        <f ca="1"/>
        <v>45467</v>
      </c>
      <c r="E80" vm="721">
        <f ca="1"/>
        <v>1.0731999999999999</v>
      </c>
      <c r="G80" s="1" vm="166">
        <v>45378</v>
      </c>
      <c r="H80" s="4" vm="635">
        <v>1.0826</v>
      </c>
      <c r="I80" s="5">
        <f ca="1">(EURUSD[[#This Row],[Price]]-OFFSET(EURUSD[[#This Row],[Price]],-1,0))/OFFSET(EURUSD[[#This Row],[Price]],-1,0)</f>
        <v>-3.6934441366570262E-4</v>
      </c>
    </row>
    <row r="81" spans="4:9" x14ac:dyDescent="0.35">
      <c r="D81" vm="230">
        <f ca="1"/>
        <v>45468</v>
      </c>
      <c r="E81" vm="722">
        <f ca="1"/>
        <v>1.0712999999999999</v>
      </c>
      <c r="G81" s="1" vm="167">
        <v>45379</v>
      </c>
      <c r="H81" s="4" vm="637">
        <v>1.0787</v>
      </c>
      <c r="I81" s="5">
        <f ca="1">(EURUSD[[#This Row],[Price]]-OFFSET(EURUSD[[#This Row],[Price]],-1,0))/OFFSET(EURUSD[[#This Row],[Price]],-1,0)</f>
        <v>-3.602438573803819E-3</v>
      </c>
    </row>
    <row r="82" spans="4:9" x14ac:dyDescent="0.35">
      <c r="D82" vm="231">
        <f ca="1"/>
        <v>45469</v>
      </c>
      <c r="E82" vm="723">
        <f ca="1"/>
        <v>1.0679000000000001</v>
      </c>
      <c r="G82" s="1" vm="168">
        <v>45380</v>
      </c>
      <c r="H82" s="4" vm="639">
        <v>1.0792999999999999</v>
      </c>
      <c r="I82" s="5">
        <f ca="1">(EURUSD[[#This Row],[Price]]-OFFSET(EURUSD[[#This Row],[Price]],-1,0))/OFFSET(EURUSD[[#This Row],[Price]],-1,0)</f>
        <v>5.5622508575130616E-4</v>
      </c>
    </row>
    <row r="83" spans="4:9" x14ac:dyDescent="0.35">
      <c r="D83" vm="232">
        <f ca="1"/>
        <v>45470</v>
      </c>
      <c r="E83" vm="724">
        <f ca="1"/>
        <v>1.0702</v>
      </c>
      <c r="G83" s="1" vm="169">
        <v>45383</v>
      </c>
      <c r="H83" s="4" vm="641">
        <v>1.0743</v>
      </c>
      <c r="I83" s="5">
        <f ca="1">(EURUSD[[#This Row],[Price]]-OFFSET(EURUSD[[#This Row],[Price]],-1,0))/OFFSET(EURUSD[[#This Row],[Price]],-1,0)</f>
        <v>-4.632632261650972E-3</v>
      </c>
    </row>
    <row r="84" spans="4:9" x14ac:dyDescent="0.35">
      <c r="D84" vm="233">
        <f ca="1"/>
        <v>45471</v>
      </c>
      <c r="E84" vm="722">
        <f ca="1"/>
        <v>1.0712999999999999</v>
      </c>
      <c r="G84" s="1" vm="170">
        <v>45384</v>
      </c>
      <c r="H84" s="4" vm="643">
        <v>1.0768</v>
      </c>
      <c r="I84" s="5">
        <f ca="1">(EURUSD[[#This Row],[Price]]-OFFSET(EURUSD[[#This Row],[Price]],-1,0))/OFFSET(EURUSD[[#This Row],[Price]],-1,0)</f>
        <v>2.3270967141393898E-3</v>
      </c>
    </row>
    <row r="85" spans="4:9" x14ac:dyDescent="0.35">
      <c r="D85" vm="234">
        <f ca="1"/>
        <v>45474</v>
      </c>
      <c r="E85" vm="719">
        <f ca="1"/>
        <v>1.0738000000000001</v>
      </c>
      <c r="G85" s="1" vm="171">
        <v>45385</v>
      </c>
      <c r="H85" s="4" vm="645">
        <v>1.0834999999999999</v>
      </c>
      <c r="I85" s="5">
        <f ca="1">(EURUSD[[#This Row],[Price]]-OFFSET(EURUSD[[#This Row],[Price]],-1,0))/OFFSET(EURUSD[[#This Row],[Price]],-1,0)</f>
        <v>6.2221396731054314E-3</v>
      </c>
    </row>
    <row r="86" spans="4:9" x14ac:dyDescent="0.35">
      <c r="D86" vm="235">
        <f ca="1"/>
        <v>45475</v>
      </c>
      <c r="E86" vm="725">
        <f ca="1"/>
        <v>1.0744</v>
      </c>
      <c r="G86" s="1" vm="172">
        <v>45386</v>
      </c>
      <c r="H86" s="4" vm="645">
        <v>1.0834999999999999</v>
      </c>
      <c r="I86" s="5">
        <f ca="1">(EURUSD[[#This Row],[Price]]-OFFSET(EURUSD[[#This Row],[Price]],-1,0))/OFFSET(EURUSD[[#This Row],[Price]],-1,0)</f>
        <v>0</v>
      </c>
    </row>
    <row r="87" spans="4:9" x14ac:dyDescent="0.35">
      <c r="D87" vm="236">
        <f ca="1"/>
        <v>45476</v>
      </c>
      <c r="E87" vm="726">
        <f ca="1"/>
        <v>1.0786</v>
      </c>
      <c r="G87" s="1" vm="173">
        <v>45387</v>
      </c>
      <c r="H87" s="4" vm="645">
        <v>1.0834999999999999</v>
      </c>
      <c r="I87" s="5">
        <f ca="1">(EURUSD[[#This Row],[Price]]-OFFSET(EURUSD[[#This Row],[Price]],-1,0))/OFFSET(EURUSD[[#This Row],[Price]],-1,0)</f>
        <v>0</v>
      </c>
    </row>
    <row r="88" spans="4:9" x14ac:dyDescent="0.35">
      <c r="D88" vm="237">
        <f ca="1"/>
        <v>45477</v>
      </c>
      <c r="E88" vm="727">
        <f ca="1"/>
        <v>1.081</v>
      </c>
      <c r="G88" s="1" vm="174">
        <v>45390</v>
      </c>
      <c r="H88" s="4" vm="649">
        <v>1.0858000000000001</v>
      </c>
      <c r="I88" s="5">
        <f ca="1">(EURUSD[[#This Row],[Price]]-OFFSET(EURUSD[[#This Row],[Price]],-1,0))/OFFSET(EURUSD[[#This Row],[Price]],-1,0)</f>
        <v>2.1227503461007761E-3</v>
      </c>
    </row>
    <row r="89" spans="4:9" x14ac:dyDescent="0.35">
      <c r="D89" vm="238">
        <f ca="1"/>
        <v>45478</v>
      </c>
      <c r="E89" vm="631">
        <f ca="1"/>
        <v>1.0835999999999999</v>
      </c>
      <c r="G89" s="1" vm="175">
        <v>45391</v>
      </c>
      <c r="H89" s="4" vm="651">
        <v>1.0854999999999999</v>
      </c>
      <c r="I89" s="5">
        <f ca="1">(EURUSD[[#This Row],[Price]]-OFFSET(EURUSD[[#This Row],[Price]],-1,0))/OFFSET(EURUSD[[#This Row],[Price]],-1,0)</f>
        <v>-2.7629397679148E-4</v>
      </c>
    </row>
    <row r="90" spans="4:9" x14ac:dyDescent="0.35">
      <c r="D90" vm="239">
        <f ca="1"/>
        <v>45481</v>
      </c>
      <c r="E90" vm="728">
        <f ca="1"/>
        <v>1.0822000000000001</v>
      </c>
      <c r="G90" s="1" vm="176">
        <v>45392</v>
      </c>
      <c r="H90" s="4" vm="653">
        <v>1.0742</v>
      </c>
      <c r="I90" s="5">
        <f ca="1">(EURUSD[[#This Row],[Price]]-OFFSET(EURUSD[[#This Row],[Price]],-1,0))/OFFSET(EURUSD[[#This Row],[Price]],-1,0)</f>
        <v>-1.0409949332104897E-2</v>
      </c>
    </row>
    <row r="91" spans="4:9" x14ac:dyDescent="0.35">
      <c r="D91" vm="240">
        <f ca="1"/>
        <v>45482</v>
      </c>
      <c r="E91" vm="729">
        <f ca="1"/>
        <v>1.0811999999999999</v>
      </c>
      <c r="G91" s="1" vm="177">
        <v>45393</v>
      </c>
      <c r="H91" s="4" vm="654">
        <v>1.0724</v>
      </c>
      <c r="I91" s="5">
        <f ca="1">(EURUSD[[#This Row],[Price]]-OFFSET(EURUSD[[#This Row],[Price]],-1,0))/OFFSET(EURUSD[[#This Row],[Price]],-1,0)</f>
        <v>-1.6756656116179703E-3</v>
      </c>
    </row>
    <row r="92" spans="4:9" x14ac:dyDescent="0.35">
      <c r="D92" vm="241">
        <f ca="1"/>
        <v>45483</v>
      </c>
      <c r="E92" vm="633">
        <f ca="1"/>
        <v>1.083</v>
      </c>
      <c r="G92" s="1" vm="178">
        <v>45394</v>
      </c>
      <c r="H92" s="4" vm="656">
        <v>1.0642</v>
      </c>
      <c r="I92" s="5">
        <f ca="1">(EURUSD[[#This Row],[Price]]-OFFSET(EURUSD[[#This Row],[Price]],-1,0))/OFFSET(EURUSD[[#This Row],[Price]],-1,0)</f>
        <v>-7.6464005967922279E-3</v>
      </c>
    </row>
    <row r="93" spans="4:9" x14ac:dyDescent="0.35">
      <c r="D93" vm="242">
        <f ca="1"/>
        <v>45484</v>
      </c>
      <c r="E93" vm="623">
        <f ca="1"/>
        <v>1.0865</v>
      </c>
      <c r="G93" s="1" vm="179">
        <v>45397</v>
      </c>
      <c r="H93" s="4" vm="658">
        <v>1.0622</v>
      </c>
      <c r="I93" s="5">
        <f ca="1">(EURUSD[[#This Row],[Price]]-OFFSET(EURUSD[[#This Row],[Price]],-1,0))/OFFSET(EURUSD[[#This Row],[Price]],-1,0)</f>
        <v>-1.879345987596318E-3</v>
      </c>
    </row>
    <row r="94" spans="4:9" x14ac:dyDescent="0.35">
      <c r="D94" vm="243">
        <f ca="1"/>
        <v>45485</v>
      </c>
      <c r="E94" vm="730">
        <f ca="1"/>
        <v>1.0906</v>
      </c>
      <c r="G94" s="1" vm="180">
        <v>45398</v>
      </c>
      <c r="H94" s="4" vm="659">
        <v>1.0617000000000001</v>
      </c>
      <c r="I94" s="5">
        <f ca="1">(EURUSD[[#This Row],[Price]]-OFFSET(EURUSD[[#This Row],[Price]],-1,0))/OFFSET(EURUSD[[#This Row],[Price]],-1,0)</f>
        <v>-4.707211447937723E-4</v>
      </c>
    </row>
    <row r="95" spans="4:9" x14ac:dyDescent="0.35">
      <c r="D95" vm="244">
        <f ca="1"/>
        <v>45488</v>
      </c>
      <c r="E95" vm="616">
        <f ca="1"/>
        <v>1.0893999999999999</v>
      </c>
      <c r="G95" s="1" vm="181">
        <v>45399</v>
      </c>
      <c r="H95" s="4" vm="660">
        <v>1.0670999999999999</v>
      </c>
      <c r="I95" s="5">
        <f ca="1">(EURUSD[[#This Row],[Price]]-OFFSET(EURUSD[[#This Row],[Price]],-1,0))/OFFSET(EURUSD[[#This Row],[Price]],-1,0)</f>
        <v>5.0861825374398121E-3</v>
      </c>
    </row>
    <row r="96" spans="4:9" x14ac:dyDescent="0.35">
      <c r="D96" vm="245">
        <f ca="1"/>
        <v>45489</v>
      </c>
      <c r="E96" vm="607">
        <f ca="1"/>
        <v>1.0896999999999999</v>
      </c>
      <c r="G96" s="1" vm="182">
        <v>45400</v>
      </c>
      <c r="H96" s="4" vm="661">
        <v>1.0643</v>
      </c>
      <c r="I96" s="5">
        <f ca="1">(EURUSD[[#This Row],[Price]]-OFFSET(EURUSD[[#This Row],[Price]],-1,0))/OFFSET(EURUSD[[#This Row],[Price]],-1,0)</f>
        <v>-2.6239340268015311E-3</v>
      </c>
    </row>
    <row r="97" spans="4:9" x14ac:dyDescent="0.35">
      <c r="D97" vm="246">
        <f ca="1"/>
        <v>45490</v>
      </c>
      <c r="E97" vm="610">
        <f ca="1"/>
        <v>1.0936999999999999</v>
      </c>
      <c r="G97" s="1" vm="183">
        <v>45401</v>
      </c>
      <c r="H97" s="4" vm="662">
        <v>1.0653999999999999</v>
      </c>
      <c r="I97" s="5">
        <f ca="1">(EURUSD[[#This Row],[Price]]-OFFSET(EURUSD[[#This Row],[Price]],-1,0))/OFFSET(EURUSD[[#This Row],[Price]],-1,0)</f>
        <v>1.0335431739170147E-3</v>
      </c>
    </row>
    <row r="98" spans="4:9" x14ac:dyDescent="0.35">
      <c r="D98" vm="247">
        <f ca="1"/>
        <v>45491</v>
      </c>
      <c r="E98" vm="731">
        <f ca="1"/>
        <v>1.0895999999999999</v>
      </c>
      <c r="G98" s="1" vm="184">
        <v>45404</v>
      </c>
      <c r="H98" s="4" vm="662">
        <v>1.0653999999999999</v>
      </c>
      <c r="I98" s="5">
        <f ca="1">(EURUSD[[#This Row],[Price]]-OFFSET(EURUSD[[#This Row],[Price]],-1,0))/OFFSET(EURUSD[[#This Row],[Price]],-1,0)</f>
        <v>0</v>
      </c>
    </row>
    <row r="99" spans="4:9" x14ac:dyDescent="0.35">
      <c r="D99" vm="248">
        <f ca="1"/>
        <v>45492</v>
      </c>
      <c r="E99" vm="732">
        <f ca="1"/>
        <v>1.0876999999999999</v>
      </c>
      <c r="G99" s="1" vm="185">
        <v>45405</v>
      </c>
      <c r="H99" s="4" vm="665">
        <v>1.0699000000000001</v>
      </c>
      <c r="I99" s="5">
        <f ca="1">(EURUSD[[#This Row],[Price]]-OFFSET(EURUSD[[#This Row],[Price]],-1,0))/OFFSET(EURUSD[[#This Row],[Price]],-1,0)</f>
        <v>4.2237657217947915E-3</v>
      </c>
    </row>
    <row r="100" spans="4:9" x14ac:dyDescent="0.35">
      <c r="D100" vm="249">
        <f ca="1"/>
        <v>45495</v>
      </c>
      <c r="E100" vm="733">
        <f ca="1"/>
        <v>1.0889</v>
      </c>
      <c r="G100" s="1" vm="186">
        <v>45406</v>
      </c>
      <c r="H100" s="4" vm="667">
        <v>1.0697000000000001</v>
      </c>
      <c r="I100" s="5">
        <f ca="1">(EURUSD[[#This Row],[Price]]-OFFSET(EURUSD[[#This Row],[Price]],-1,0))/OFFSET(EURUSD[[#This Row],[Price]],-1,0)</f>
        <v>-1.869333582577605E-4</v>
      </c>
    </row>
    <row r="101" spans="4:9" x14ac:dyDescent="0.35">
      <c r="D101" vm="250">
        <f ca="1"/>
        <v>45496</v>
      </c>
      <c r="E101" vm="663">
        <f ca="1"/>
        <v>1.0851</v>
      </c>
      <c r="G101" s="1" vm="187">
        <v>45407</v>
      </c>
      <c r="H101" s="4" vm="669">
        <v>1.0729</v>
      </c>
      <c r="I101" s="5">
        <f ca="1">(EURUSD[[#This Row],[Price]]-OFFSET(EURUSD[[#This Row],[Price]],-1,0))/OFFSET(EURUSD[[#This Row],[Price]],-1,0)</f>
        <v>2.9914929419462177E-3</v>
      </c>
    </row>
    <row r="102" spans="4:9" x14ac:dyDescent="0.35">
      <c r="D102" vm="251">
        <f ca="1"/>
        <v>45497</v>
      </c>
      <c r="E102" vm="734">
        <f ca="1"/>
        <v>1.0839000000000001</v>
      </c>
      <c r="G102" s="1" vm="188">
        <v>45408</v>
      </c>
      <c r="H102" s="4" vm="671">
        <v>1.0691999999999999</v>
      </c>
      <c r="I102" s="5">
        <f ca="1">(EURUSD[[#This Row],[Price]]-OFFSET(EURUSD[[#This Row],[Price]],-1,0))/OFFSET(EURUSD[[#This Row],[Price]],-1,0)</f>
        <v>-3.4485972597632928E-3</v>
      </c>
    </row>
    <row r="103" spans="4:9" x14ac:dyDescent="0.35">
      <c r="D103" vm="252">
        <f ca="1"/>
        <v>45498</v>
      </c>
      <c r="E103" vm="704">
        <f ca="1"/>
        <v>1.0844</v>
      </c>
      <c r="G103" s="1" vm="189">
        <v>45411</v>
      </c>
      <c r="H103" s="4" vm="673">
        <v>1.0719000000000001</v>
      </c>
      <c r="I103" s="5">
        <f ca="1">(EURUSD[[#This Row],[Price]]-OFFSET(EURUSD[[#This Row],[Price]],-1,0))/OFFSET(EURUSD[[#This Row],[Price]],-1,0)</f>
        <v>2.5252525252526625E-3</v>
      </c>
    </row>
    <row r="104" spans="4:9" x14ac:dyDescent="0.35">
      <c r="D104" vm="1">
        <f ca="1"/>
        <v>45499</v>
      </c>
      <c r="E104" vm="735">
        <f ca="1"/>
        <v>1.0857000000000001</v>
      </c>
      <c r="G104" s="1" vm="190">
        <v>45412</v>
      </c>
      <c r="H104" s="4" vm="675">
        <v>1.0665</v>
      </c>
      <c r="I104" s="5">
        <f ca="1">(EURUSD[[#This Row],[Price]]-OFFSET(EURUSD[[#This Row],[Price]],-1,0))/OFFSET(EURUSD[[#This Row],[Price]],-1,0)</f>
        <v>-5.0377833753149281E-3</v>
      </c>
    </row>
    <row r="105" spans="4:9" x14ac:dyDescent="0.35">
      <c r="D105" vm="2">
        <f ca="1"/>
        <v>45502</v>
      </c>
      <c r="E105" vm="736">
        <f ca="1"/>
        <v>1.0819000000000001</v>
      </c>
      <c r="G105" s="1" vm="191">
        <v>45413</v>
      </c>
      <c r="H105" s="4" vm="677">
        <v>1.0709</v>
      </c>
      <c r="I105" s="5">
        <f ca="1">(EURUSD[[#This Row],[Price]]-OFFSET(EURUSD[[#This Row],[Price]],-1,0))/OFFSET(EURUSD[[#This Row],[Price]],-1,0)</f>
        <v>4.1256446319737081E-3</v>
      </c>
    </row>
    <row r="106" spans="4:9" x14ac:dyDescent="0.35">
      <c r="D106" vm="3">
        <f ca="1"/>
        <v>45503</v>
      </c>
      <c r="E106" vm="737">
        <f ca="1"/>
        <v>1.0814999999999999</v>
      </c>
      <c r="G106" s="1" vm="192">
        <v>45414</v>
      </c>
      <c r="H106" s="4" vm="679">
        <v>1.0725</v>
      </c>
      <c r="I106" s="5">
        <f ca="1">(EURUSD[[#This Row],[Price]]-OFFSET(EURUSD[[#This Row],[Price]],-1,0))/OFFSET(EURUSD[[#This Row],[Price]],-1,0)</f>
        <v>1.4940704080680231E-3</v>
      </c>
    </row>
    <row r="107" spans="4:9" x14ac:dyDescent="0.35">
      <c r="D107" vm="4">
        <f ca="1"/>
        <v>45504</v>
      </c>
      <c r="E107" vm="738">
        <f ca="1"/>
        <v>1.0825</v>
      </c>
      <c r="G107" s="1" vm="193">
        <v>45415</v>
      </c>
      <c r="H107" s="4" vm="681">
        <v>1.0758000000000001</v>
      </c>
      <c r="I107" s="5">
        <f ca="1">(EURUSD[[#This Row],[Price]]-OFFSET(EURUSD[[#This Row],[Price]],-1,0))/OFFSET(EURUSD[[#This Row],[Price]],-1,0)</f>
        <v>3.0769230769231519E-3</v>
      </c>
    </row>
    <row r="108" spans="4:9" x14ac:dyDescent="0.35">
      <c r="D108" vm="5">
        <f ca="1"/>
        <v>45505</v>
      </c>
      <c r="E108" vm="739">
        <f ca="1"/>
        <v>1.0790999999999999</v>
      </c>
      <c r="G108" s="1" vm="194">
        <v>45418</v>
      </c>
      <c r="H108" s="4" vm="643">
        <v>1.0768</v>
      </c>
      <c r="I108" s="5">
        <f ca="1">(EURUSD[[#This Row],[Price]]-OFFSET(EURUSD[[#This Row],[Price]],-1,0))/OFFSET(EURUSD[[#This Row],[Price]],-1,0)</f>
        <v>9.295408068413179E-4</v>
      </c>
    </row>
    <row r="109" spans="4:9" x14ac:dyDescent="0.35">
      <c r="D109" vm="6">
        <f ca="1"/>
        <v>45506</v>
      </c>
      <c r="E109" vm="740">
        <f ca="1"/>
        <v>1.0908</v>
      </c>
      <c r="G109" s="1" vm="195">
        <v>45419</v>
      </c>
      <c r="H109" s="4" vm="684">
        <v>1.0751999999999999</v>
      </c>
      <c r="I109" s="5">
        <f ca="1">(EURUSD[[#This Row],[Price]]-OFFSET(EURUSD[[#This Row],[Price]],-1,0))/OFFSET(EURUSD[[#This Row],[Price]],-1,0)</f>
        <v>-1.4858841010401615E-3</v>
      </c>
    </row>
    <row r="110" spans="4:9" x14ac:dyDescent="0.35">
      <c r="D110" vm="7">
        <f ca="1"/>
        <v>45509</v>
      </c>
      <c r="E110" vm="741">
        <f ca="1"/>
        <v>1.0952</v>
      </c>
      <c r="G110" s="1" vm="196">
        <v>45420</v>
      </c>
      <c r="H110" s="4" vm="686">
        <v>1.0745</v>
      </c>
      <c r="I110" s="5">
        <f ca="1">(EURUSD[[#This Row],[Price]]-OFFSET(EURUSD[[#This Row],[Price]],-1,0))/OFFSET(EURUSD[[#This Row],[Price]],-1,0)</f>
        <v>-6.5104166666659496E-4</v>
      </c>
    </row>
    <row r="111" spans="4:9" x14ac:dyDescent="0.35">
      <c r="D111" vm="8">
        <f ca="1"/>
        <v>45510</v>
      </c>
      <c r="E111" vm="742">
        <f ca="1"/>
        <v>1.093</v>
      </c>
      <c r="G111" s="1" vm="197">
        <v>45421</v>
      </c>
      <c r="H111" s="4" vm="688">
        <v>1.0781000000000001</v>
      </c>
      <c r="I111" s="5">
        <f ca="1">(EURUSD[[#This Row],[Price]]-OFFSET(EURUSD[[#This Row],[Price]],-1,0))/OFFSET(EURUSD[[#This Row],[Price]],-1,0)</f>
        <v>3.3503955328060006E-3</v>
      </c>
    </row>
    <row r="112" spans="4:9" x14ac:dyDescent="0.35">
      <c r="D112" vm="9">
        <f ca="1"/>
        <v>45511</v>
      </c>
      <c r="E112" vm="642">
        <f ca="1"/>
        <v>1.0921000000000001</v>
      </c>
      <c r="G112" s="1" vm="198">
        <v>45422</v>
      </c>
      <c r="H112" s="4" vm="689">
        <v>1.0769</v>
      </c>
      <c r="I112" s="5">
        <f ca="1">(EURUSD[[#This Row],[Price]]-OFFSET(EURUSD[[#This Row],[Price]],-1,0))/OFFSET(EURUSD[[#This Row],[Price]],-1,0)</f>
        <v>-1.1130692885632965E-3</v>
      </c>
    </row>
    <row r="113" spans="4:9" x14ac:dyDescent="0.35">
      <c r="D113" vm="10">
        <f ca="1"/>
        <v>45512</v>
      </c>
      <c r="E113" vm="625">
        <f ca="1"/>
        <v>1.0918000000000001</v>
      </c>
      <c r="G113" s="1" vm="199">
        <v>45425</v>
      </c>
      <c r="H113" s="4" vm="690">
        <v>1.0788</v>
      </c>
      <c r="I113" s="5">
        <f ca="1">(EURUSD[[#This Row],[Price]]-OFFSET(EURUSD[[#This Row],[Price]],-1,0))/OFFSET(EURUSD[[#This Row],[Price]],-1,0)</f>
        <v>1.7643235212183236E-3</v>
      </c>
    </row>
    <row r="114" spans="4:9" x14ac:dyDescent="0.35">
      <c r="D114" vm="11">
        <f ca="1"/>
        <v>45513</v>
      </c>
      <c r="E114" vm="743">
        <f ca="1"/>
        <v>1.0915999999999999</v>
      </c>
      <c r="G114" s="1" vm="200">
        <v>45426</v>
      </c>
      <c r="H114" s="4" vm="691">
        <v>1.0818000000000001</v>
      </c>
      <c r="I114" s="5">
        <f ca="1">(EURUSD[[#This Row],[Price]]-OFFSET(EURUSD[[#This Row],[Price]],-1,0))/OFFSET(EURUSD[[#This Row],[Price]],-1,0)</f>
        <v>2.7808676307008841E-3</v>
      </c>
    </row>
    <row r="115" spans="4:9" x14ac:dyDescent="0.35">
      <c r="D115" vm="12">
        <f ca="1"/>
        <v>45516</v>
      </c>
      <c r="E115" vm="648">
        <f ca="1"/>
        <v>1.0931</v>
      </c>
      <c r="G115" s="1" vm="201">
        <v>45427</v>
      </c>
      <c r="H115" s="4" vm="692">
        <v>1.0882000000000001</v>
      </c>
      <c r="I115" s="5">
        <f ca="1">(EURUSD[[#This Row],[Price]]-OFFSET(EURUSD[[#This Row],[Price]],-1,0))/OFFSET(EURUSD[[#This Row],[Price]],-1,0)</f>
        <v>5.9160658162321694E-3</v>
      </c>
    </row>
    <row r="116" spans="4:9" x14ac:dyDescent="0.35">
      <c r="D116" vm="13">
        <f ca="1"/>
        <v>45517</v>
      </c>
      <c r="E116" vm="744">
        <f ca="1"/>
        <v>1.0992</v>
      </c>
      <c r="G116" s="1" vm="202">
        <v>45428</v>
      </c>
      <c r="H116" s="4" vm="623">
        <v>1.0865</v>
      </c>
      <c r="I116" s="5">
        <f ca="1">(EURUSD[[#This Row],[Price]]-OFFSET(EURUSD[[#This Row],[Price]],-1,0))/OFFSET(EURUSD[[#This Row],[Price]],-1,0)</f>
        <v>-1.5622128285242003E-3</v>
      </c>
    </row>
    <row r="117" spans="4:9" x14ac:dyDescent="0.35">
      <c r="D117" vm="14">
        <f ca="1"/>
        <v>45518</v>
      </c>
      <c r="E117" vm="745">
        <f ca="1"/>
        <v>1.1012</v>
      </c>
      <c r="G117" s="1" vm="203">
        <v>45429</v>
      </c>
      <c r="H117" s="4" vm="695">
        <v>1.087</v>
      </c>
      <c r="I117" s="5">
        <f ca="1">(EURUSD[[#This Row],[Price]]-OFFSET(EURUSD[[#This Row],[Price]],-1,0))/OFFSET(EURUSD[[#This Row],[Price]],-1,0)</f>
        <v>4.6019328117804408E-4</v>
      </c>
    </row>
    <row r="118" spans="4:9" x14ac:dyDescent="0.35">
      <c r="D118" vm="15">
        <f ca="1"/>
        <v>45519</v>
      </c>
      <c r="E118" vm="650">
        <f ca="1"/>
        <v>1.0971</v>
      </c>
      <c r="G118" s="1" vm="204">
        <v>45432</v>
      </c>
      <c r="H118" s="4" vm="651">
        <v>1.0854999999999999</v>
      </c>
      <c r="I118" s="5">
        <f ca="1">(EURUSD[[#This Row],[Price]]-OFFSET(EURUSD[[#This Row],[Price]],-1,0))/OFFSET(EURUSD[[#This Row],[Price]],-1,0)</f>
        <v>-1.379944802207964E-3</v>
      </c>
    </row>
    <row r="119" spans="4:9" x14ac:dyDescent="0.35">
      <c r="D119" vm="16">
        <f ca="1"/>
        <v>45520</v>
      </c>
      <c r="E119" vm="746">
        <f ca="1"/>
        <v>1.1028</v>
      </c>
      <c r="G119" s="1" vm="205">
        <v>45433</v>
      </c>
      <c r="H119" s="4" vm="698">
        <v>1.0853999999999999</v>
      </c>
      <c r="I119" s="5">
        <f ca="1">(EURUSD[[#This Row],[Price]]-OFFSET(EURUSD[[#This Row],[Price]],-1,0))/OFFSET(EURUSD[[#This Row],[Price]],-1,0)</f>
        <v>-9.212344541684845E-5</v>
      </c>
    </row>
    <row r="120" spans="4:9" x14ac:dyDescent="0.35">
      <c r="D120" vm="17">
        <f ca="1"/>
        <v>45523</v>
      </c>
      <c r="E120" vm="747">
        <f ca="1"/>
        <v>1.1085</v>
      </c>
      <c r="G120" s="1" vm="206">
        <v>45434</v>
      </c>
      <c r="H120" s="4" vm="700">
        <v>1.0821000000000001</v>
      </c>
      <c r="I120" s="5">
        <f ca="1">(EURUSD[[#This Row],[Price]]-OFFSET(EURUSD[[#This Row],[Price]],-1,0))/OFFSET(EURUSD[[#This Row],[Price]],-1,0)</f>
        <v>-3.0403537866223133E-3</v>
      </c>
    </row>
    <row r="121" spans="4:9" x14ac:dyDescent="0.35">
      <c r="D121" vm="18">
        <f ca="1"/>
        <v>45524</v>
      </c>
      <c r="E121" vm="748">
        <f ca="1"/>
        <v>1.113</v>
      </c>
      <c r="G121" s="1" vm="207">
        <v>45435</v>
      </c>
      <c r="H121" s="4" vm="701">
        <v>1.0812999999999999</v>
      </c>
      <c r="I121" s="5">
        <f ca="1">(EURUSD[[#This Row],[Price]]-OFFSET(EURUSD[[#This Row],[Price]],-1,0))/OFFSET(EURUSD[[#This Row],[Price]],-1,0)</f>
        <v>-7.3930320672778286E-4</v>
      </c>
    </row>
    <row r="122" spans="4:9" x14ac:dyDescent="0.35">
      <c r="D122" vm="19">
        <f ca="1"/>
        <v>45525</v>
      </c>
      <c r="E122" vm="749">
        <f ca="1"/>
        <v>1.115</v>
      </c>
      <c r="G122" s="1" vm="208">
        <v>45436</v>
      </c>
      <c r="H122" s="4" vm="703">
        <v>1.0845</v>
      </c>
      <c r="I122" s="5">
        <f ca="1">(EURUSD[[#This Row],[Price]]-OFFSET(EURUSD[[#This Row],[Price]],-1,0))/OFFSET(EURUSD[[#This Row],[Price]],-1,0)</f>
        <v>2.9594007213540109E-3</v>
      </c>
    </row>
    <row r="123" spans="4:9" x14ac:dyDescent="0.35">
      <c r="D123" vm="20">
        <f ca="1"/>
        <v>45526</v>
      </c>
      <c r="E123" vm="750">
        <f ca="1"/>
        <v>1.1112</v>
      </c>
      <c r="G123" s="1" vm="209">
        <v>45439</v>
      </c>
      <c r="H123" s="4" vm="649">
        <v>1.0858000000000001</v>
      </c>
      <c r="I123" s="5">
        <f ca="1">(EURUSD[[#This Row],[Price]]-OFFSET(EURUSD[[#This Row],[Price]],-1,0))/OFFSET(EURUSD[[#This Row],[Price]],-1,0)</f>
        <v>1.1987090825265826E-3</v>
      </c>
    </row>
    <row r="124" spans="4:9" x14ac:dyDescent="0.35">
      <c r="D124" vm="21">
        <f ca="1"/>
        <v>45527</v>
      </c>
      <c r="E124" vm="751">
        <f ca="1"/>
        <v>1.119</v>
      </c>
      <c r="G124" s="1" vm="210">
        <v>45440</v>
      </c>
      <c r="H124" s="4" vm="651">
        <v>1.0854999999999999</v>
      </c>
      <c r="I124" s="5">
        <f ca="1">(EURUSD[[#This Row],[Price]]-OFFSET(EURUSD[[#This Row],[Price]],-1,0))/OFFSET(EURUSD[[#This Row],[Price]],-1,0)</f>
        <v>-2.7629397679148E-4</v>
      </c>
    </row>
    <row r="125" spans="4:9" x14ac:dyDescent="0.35">
      <c r="D125" vm="22">
        <f ca="1"/>
        <v>45530</v>
      </c>
      <c r="E125" vm="752">
        <f ca="1"/>
        <v>1.1161000000000001</v>
      </c>
      <c r="G125" s="1" vm="211">
        <v>45441</v>
      </c>
      <c r="H125" s="4" vm="705">
        <v>1.08</v>
      </c>
      <c r="I125" s="5">
        <f ca="1">(EURUSD[[#This Row],[Price]]-OFFSET(EURUSD[[#This Row],[Price]],-1,0))/OFFSET(EURUSD[[#This Row],[Price]],-1,0)</f>
        <v>-5.0667894979270741E-3</v>
      </c>
    </row>
    <row r="126" spans="4:9" x14ac:dyDescent="0.35">
      <c r="D126" vm="23">
        <f ca="1"/>
        <v>45531</v>
      </c>
      <c r="E126" vm="753">
        <f ca="1"/>
        <v>1.1184000000000001</v>
      </c>
      <c r="G126" s="1" vm="212">
        <v>45442</v>
      </c>
      <c r="H126" s="4" vm="707">
        <v>1.0831999999999999</v>
      </c>
      <c r="I126" s="5">
        <f ca="1">(EURUSD[[#This Row],[Price]]-OFFSET(EURUSD[[#This Row],[Price]],-1,0))/OFFSET(EURUSD[[#This Row],[Price]],-1,0)</f>
        <v>2.9629629629628423E-3</v>
      </c>
    </row>
    <row r="127" spans="4:9" x14ac:dyDescent="0.35">
      <c r="D127" vm="24">
        <f ca="1"/>
        <v>45532</v>
      </c>
      <c r="E127" vm="754">
        <f ca="1"/>
        <v>1.1120000000000001</v>
      </c>
      <c r="G127" s="1" vm="213">
        <v>45443</v>
      </c>
      <c r="H127" s="4" vm="708">
        <v>1.0841000000000001</v>
      </c>
      <c r="I127" s="5">
        <f ca="1">(EURUSD[[#This Row],[Price]]-OFFSET(EURUSD[[#This Row],[Price]],-1,0))/OFFSET(EURUSD[[#This Row],[Price]],-1,0)</f>
        <v>8.3087149187603671E-4</v>
      </c>
    </row>
    <row r="128" spans="4:9" x14ac:dyDescent="0.35">
      <c r="D128" vm="25">
        <f ca="1"/>
        <v>45533</v>
      </c>
      <c r="E128" vm="755">
        <f ca="1"/>
        <v>1.1076999999999999</v>
      </c>
      <c r="G128" s="1" vm="214">
        <v>45446</v>
      </c>
      <c r="H128" s="4" vm="709">
        <v>1.0902000000000001</v>
      </c>
      <c r="I128" s="5">
        <f ca="1">(EURUSD[[#This Row],[Price]]-OFFSET(EURUSD[[#This Row],[Price]],-1,0))/OFFSET(EURUSD[[#This Row],[Price]],-1,0)</f>
        <v>5.6267871967530612E-3</v>
      </c>
    </row>
    <row r="129" spans="4:9" x14ac:dyDescent="0.35">
      <c r="D129" vm="26">
        <f ca="1"/>
        <v>45534</v>
      </c>
      <c r="E129" vm="756">
        <f ca="1"/>
        <v>1.1047</v>
      </c>
      <c r="G129" s="1" vm="215">
        <v>45447</v>
      </c>
      <c r="H129" s="4" vm="710">
        <v>1.0878000000000001</v>
      </c>
      <c r="I129" s="5">
        <f ca="1">(EURUSD[[#This Row],[Price]]-OFFSET(EURUSD[[#This Row],[Price]],-1,0))/OFFSET(EURUSD[[#This Row],[Price]],-1,0)</f>
        <v>-2.2014309301045289E-3</v>
      </c>
    </row>
    <row r="130" spans="4:9" x14ac:dyDescent="0.35">
      <c r="D130" vm="27">
        <f ca="1"/>
        <v>45537</v>
      </c>
      <c r="E130" vm="757">
        <f ca="1"/>
        <v>1.1071</v>
      </c>
      <c r="G130" s="1" vm="216">
        <v>45448</v>
      </c>
      <c r="H130" s="4" vm="711">
        <v>1.0868</v>
      </c>
      <c r="I130" s="5">
        <f ca="1">(EURUSD[[#This Row],[Price]]-OFFSET(EURUSD[[#This Row],[Price]],-1,0))/OFFSET(EURUSD[[#This Row],[Price]],-1,0)</f>
        <v>-9.1928663357245064E-4</v>
      </c>
    </row>
    <row r="131" spans="4:9" x14ac:dyDescent="0.35">
      <c r="D131" vm="28">
        <f ca="1"/>
        <v>45538</v>
      </c>
      <c r="E131" vm="758">
        <f ca="1"/>
        <v>1.1043000000000001</v>
      </c>
      <c r="G131" s="1" vm="217">
        <v>45449</v>
      </c>
      <c r="H131" s="4" vm="712">
        <v>1.0888</v>
      </c>
      <c r="I131" s="5">
        <f ca="1">(EURUSD[[#This Row],[Price]]-OFFSET(EURUSD[[#This Row],[Price]],-1,0))/OFFSET(EURUSD[[#This Row],[Price]],-1,0)</f>
        <v>1.8402649981597366E-3</v>
      </c>
    </row>
    <row r="132" spans="4:9" x14ac:dyDescent="0.35">
      <c r="D132" vm="29">
        <f ca="1"/>
        <v>45539</v>
      </c>
      <c r="E132" vm="759">
        <f ca="1"/>
        <v>1.1082000000000001</v>
      </c>
      <c r="G132" s="1" vm="218">
        <v>45450</v>
      </c>
      <c r="H132" s="4" vm="705">
        <v>1.08</v>
      </c>
      <c r="I132" s="5">
        <f ca="1">(EURUSD[[#This Row],[Price]]-OFFSET(EURUSD[[#This Row],[Price]],-1,0))/OFFSET(EURUSD[[#This Row],[Price]],-1,0)</f>
        <v>-8.0822924320351937E-3</v>
      </c>
    </row>
    <row r="133" spans="4:9" x14ac:dyDescent="0.35">
      <c r="D133" vm="30">
        <f ca="1"/>
        <v>45540</v>
      </c>
      <c r="E133" vm="760">
        <f ca="1"/>
        <v>1.111</v>
      </c>
      <c r="G133" s="1" vm="219">
        <v>45453</v>
      </c>
      <c r="H133" s="4" vm="713">
        <v>1.0763</v>
      </c>
      <c r="I133" s="5">
        <f ca="1">(EURUSD[[#This Row],[Price]]-OFFSET(EURUSD[[#This Row],[Price]],-1,0))/OFFSET(EURUSD[[#This Row],[Price]],-1,0)</f>
        <v>-3.4259259259259594E-3</v>
      </c>
    </row>
    <row r="134" spans="4:9" x14ac:dyDescent="0.35">
      <c r="D134" vm="31">
        <f ca="1"/>
        <v>45541</v>
      </c>
      <c r="E134" vm="761">
        <f ca="1"/>
        <v>1.1083000000000001</v>
      </c>
      <c r="G134" s="1" vm="220">
        <v>45454</v>
      </c>
      <c r="H134" s="4" vm="714">
        <v>1.0739000000000001</v>
      </c>
      <c r="I134" s="5">
        <f ca="1">(EURUSD[[#This Row],[Price]]-OFFSET(EURUSD[[#This Row],[Price]],-1,0))/OFFSET(EURUSD[[#This Row],[Price]],-1,0)</f>
        <v>-2.2298615627612726E-3</v>
      </c>
    </row>
    <row r="135" spans="4:9" x14ac:dyDescent="0.35">
      <c r="D135" vm="32">
        <f ca="1"/>
        <v>45544</v>
      </c>
      <c r="E135" vm="762">
        <f ca="1"/>
        <v>1.1033999999999999</v>
      </c>
      <c r="G135" s="1" vm="221">
        <v>45455</v>
      </c>
      <c r="H135" s="4" vm="715">
        <v>1.0807</v>
      </c>
      <c r="I135" s="5">
        <f ca="1">(EURUSD[[#This Row],[Price]]-OFFSET(EURUSD[[#This Row],[Price]],-1,0))/OFFSET(EURUSD[[#This Row],[Price]],-1,0)</f>
        <v>6.3320607132879379E-3</v>
      </c>
    </row>
    <row r="136" spans="4:9" x14ac:dyDescent="0.35">
      <c r="D136" vm="33">
        <f ca="1"/>
        <v>45545</v>
      </c>
      <c r="E136" vm="763">
        <f ca="1"/>
        <v>1.1019000000000001</v>
      </c>
      <c r="G136" s="1" vm="222">
        <v>45456</v>
      </c>
      <c r="H136" s="4" vm="716">
        <v>1.0734999999999999</v>
      </c>
      <c r="I136" s="5">
        <f ca="1">(EURUSD[[#This Row],[Price]]-OFFSET(EURUSD[[#This Row],[Price]],-1,0))/OFFSET(EURUSD[[#This Row],[Price]],-1,0)</f>
        <v>-6.6623484778385259E-3</v>
      </c>
    </row>
    <row r="137" spans="4:9" x14ac:dyDescent="0.35">
      <c r="D137" vm="34">
        <f ca="1"/>
        <v>45546</v>
      </c>
      <c r="E137" vm="764">
        <f ca="1"/>
        <v>1.1011</v>
      </c>
      <c r="G137" s="1" vm="223">
        <v>45457</v>
      </c>
      <c r="H137" s="4" vm="717">
        <v>1.07</v>
      </c>
      <c r="I137" s="5">
        <f ca="1">(EURUSD[[#This Row],[Price]]-OFFSET(EURUSD[[#This Row],[Price]],-1,0))/OFFSET(EURUSD[[#This Row],[Price]],-1,0)</f>
        <v>-3.2603632976244403E-3</v>
      </c>
    </row>
    <row r="138" spans="4:9" x14ac:dyDescent="0.35">
      <c r="D138" vm="35">
        <f ca="1"/>
        <v>45547</v>
      </c>
      <c r="E138" vm="765">
        <f ca="1"/>
        <v>1.1073999999999999</v>
      </c>
      <c r="G138" s="1" vm="224">
        <v>45460</v>
      </c>
      <c r="H138" s="4" vm="718">
        <v>1.0733999999999999</v>
      </c>
      <c r="I138" s="5">
        <f ca="1">(EURUSD[[#This Row],[Price]]-OFFSET(EURUSD[[#This Row],[Price]],-1,0))/OFFSET(EURUSD[[#This Row],[Price]],-1,0)</f>
        <v>3.1775700934578012E-3</v>
      </c>
    </row>
    <row r="139" spans="4:9" x14ac:dyDescent="0.35">
      <c r="D139" vm="36">
        <f ca="1"/>
        <v>45548</v>
      </c>
      <c r="E139" vm="766">
        <f ca="1"/>
        <v>1.1075999999999999</v>
      </c>
      <c r="G139" s="1" vm="225">
        <v>45461</v>
      </c>
      <c r="H139" s="4" vm="719">
        <v>1.0738000000000001</v>
      </c>
      <c r="I139" s="5">
        <f ca="1">(EURUSD[[#This Row],[Price]]-OFFSET(EURUSD[[#This Row],[Price]],-1,0))/OFFSET(EURUSD[[#This Row],[Price]],-1,0)</f>
        <v>3.7264766163608911E-4</v>
      </c>
    </row>
    <row r="140" spans="4:9" x14ac:dyDescent="0.35">
      <c r="D140" vm="37">
        <f ca="1"/>
        <v>45551</v>
      </c>
      <c r="E140" vm="767">
        <f ca="1"/>
        <v>1.1132</v>
      </c>
      <c r="G140" s="1" vm="226">
        <v>45462</v>
      </c>
      <c r="H140" s="4" vm="653">
        <v>1.0742</v>
      </c>
      <c r="I140" s="5">
        <f ca="1">(EURUSD[[#This Row],[Price]]-OFFSET(EURUSD[[#This Row],[Price]],-1,0))/OFFSET(EURUSD[[#This Row],[Price]],-1,0)</f>
        <v>3.7250884708507723E-4</v>
      </c>
    </row>
    <row r="141" spans="4:9" x14ac:dyDescent="0.35">
      <c r="D141" vm="38">
        <f ca="1"/>
        <v>45552</v>
      </c>
      <c r="E141" vm="768">
        <f ca="1"/>
        <v>1.1113</v>
      </c>
      <c r="G141" s="1" vm="227">
        <v>45463</v>
      </c>
      <c r="H141" s="4" vm="717">
        <v>1.07</v>
      </c>
      <c r="I141" s="5">
        <f ca="1">(EURUSD[[#This Row],[Price]]-OFFSET(EURUSD[[#This Row],[Price]],-1,0))/OFFSET(EURUSD[[#This Row],[Price]],-1,0)</f>
        <v>-3.9098864271085287E-3</v>
      </c>
    </row>
    <row r="142" spans="4:9" x14ac:dyDescent="0.35">
      <c r="D142" vm="39">
        <f ca="1"/>
        <v>45553</v>
      </c>
      <c r="E142" vm="769">
        <f ca="1"/>
        <v>1.1117999999999999</v>
      </c>
      <c r="G142" s="1" vm="228">
        <v>45464</v>
      </c>
      <c r="H142" s="4" vm="720">
        <v>1.0690999999999999</v>
      </c>
      <c r="I142" s="5">
        <f ca="1">(EURUSD[[#This Row],[Price]]-OFFSET(EURUSD[[#This Row],[Price]],-1,0))/OFFSET(EURUSD[[#This Row],[Price]],-1,0)</f>
        <v>-8.4112149532721762E-4</v>
      </c>
    </row>
    <row r="143" spans="4:9" x14ac:dyDescent="0.35">
      <c r="D143" vm="40">
        <f ca="1"/>
        <v>45554</v>
      </c>
      <c r="E143" vm="752">
        <f ca="1"/>
        <v>1.1161000000000001</v>
      </c>
      <c r="G143" s="1" vm="229">
        <v>45467</v>
      </c>
      <c r="H143" s="4" vm="721">
        <v>1.0731999999999999</v>
      </c>
      <c r="I143" s="5">
        <f ca="1">(EURUSD[[#This Row],[Price]]-OFFSET(EURUSD[[#This Row],[Price]],-1,0))/OFFSET(EURUSD[[#This Row],[Price]],-1,0)</f>
        <v>3.8350014030492869E-3</v>
      </c>
    </row>
    <row r="144" spans="4:9" x14ac:dyDescent="0.35">
      <c r="D144" vm="41">
        <f ca="1"/>
        <v>45555</v>
      </c>
      <c r="E144" vm="770">
        <f ca="1"/>
        <v>1.1162000000000001</v>
      </c>
      <c r="G144" s="1" vm="230">
        <v>45468</v>
      </c>
      <c r="H144" s="4" vm="722">
        <v>1.0712999999999999</v>
      </c>
      <c r="I144" s="5">
        <f ca="1">(EURUSD[[#This Row],[Price]]-OFFSET(EURUSD[[#This Row],[Price]],-1,0))/OFFSET(EURUSD[[#This Row],[Price]],-1,0)</f>
        <v>-1.7704062616474216E-3</v>
      </c>
    </row>
    <row r="145" spans="4:9" x14ac:dyDescent="0.35">
      <c r="D145" vm="42">
        <f ca="1"/>
        <v>45558</v>
      </c>
      <c r="E145" vm="750">
        <f ca="1"/>
        <v>1.1112</v>
      </c>
      <c r="G145" s="1" vm="231">
        <v>45469</v>
      </c>
      <c r="H145" s="4" vm="723">
        <v>1.0679000000000001</v>
      </c>
      <c r="I145" s="5">
        <f ca="1">(EURUSD[[#This Row],[Price]]-OFFSET(EURUSD[[#This Row],[Price]],-1,0))/OFFSET(EURUSD[[#This Row],[Price]],-1,0)</f>
        <v>-3.1737141790346753E-3</v>
      </c>
    </row>
    <row r="146" spans="4:9" x14ac:dyDescent="0.35">
      <c r="D146" vm="43">
        <f ca="1"/>
        <v>45559</v>
      </c>
      <c r="E146" vm="771">
        <f ca="1"/>
        <v>1.1180000000000001</v>
      </c>
      <c r="G146" s="1" vm="232">
        <v>45470</v>
      </c>
      <c r="H146" s="4" vm="724">
        <v>1.0702</v>
      </c>
      <c r="I146" s="5">
        <f ca="1">(EURUSD[[#This Row],[Price]]-OFFSET(EURUSD[[#This Row],[Price]],-1,0))/OFFSET(EURUSD[[#This Row],[Price]],-1,0)</f>
        <v>2.1537597153291213E-3</v>
      </c>
    </row>
    <row r="147" spans="4:9" x14ac:dyDescent="0.35">
      <c r="D147" vm="44">
        <f ca="1"/>
        <v>45560</v>
      </c>
      <c r="E147" vm="767">
        <f ca="1"/>
        <v>1.1132</v>
      </c>
      <c r="G147" s="1" vm="233">
        <v>45471</v>
      </c>
      <c r="H147" s="4" vm="722">
        <v>1.0712999999999999</v>
      </c>
      <c r="I147" s="5">
        <f ca="1">(EURUSD[[#This Row],[Price]]-OFFSET(EURUSD[[#This Row],[Price]],-1,0))/OFFSET(EURUSD[[#This Row],[Price]],-1,0)</f>
        <v>1.0278452625676312E-3</v>
      </c>
    </row>
    <row r="148" spans="4:9" x14ac:dyDescent="0.35">
      <c r="D148" vm="45">
        <f ca="1"/>
        <v>45561</v>
      </c>
      <c r="E148" vm="772">
        <f ca="1"/>
        <v>1.1175999999999999</v>
      </c>
      <c r="G148" s="1" vm="234">
        <v>45474</v>
      </c>
      <c r="H148" s="4" vm="719">
        <v>1.0738000000000001</v>
      </c>
      <c r="I148" s="5">
        <f ca="1">(EURUSD[[#This Row],[Price]]-OFFSET(EURUSD[[#This Row],[Price]],-1,0))/OFFSET(EURUSD[[#This Row],[Price]],-1,0)</f>
        <v>2.3336133669375233E-3</v>
      </c>
    </row>
    <row r="149" spans="4:9" x14ac:dyDescent="0.35">
      <c r="D149" vm="46">
        <f ca="1"/>
        <v>45562</v>
      </c>
      <c r="E149" vm="773">
        <f ca="1"/>
        <v>1.1163000000000001</v>
      </c>
      <c r="G149" s="1" vm="235">
        <v>45475</v>
      </c>
      <c r="H149" s="4" vm="725">
        <v>1.0744</v>
      </c>
      <c r="I149" s="5">
        <f ca="1">(EURUSD[[#This Row],[Price]]-OFFSET(EURUSD[[#This Row],[Price]],-1,0))/OFFSET(EURUSD[[#This Row],[Price]],-1,0)</f>
        <v>5.5876327062761579E-4</v>
      </c>
    </row>
    <row r="150" spans="4:9" x14ac:dyDescent="0.35">
      <c r="D150" vm="47">
        <f ca="1"/>
        <v>45565</v>
      </c>
      <c r="E150" vm="774">
        <f ca="1"/>
        <v>1.1133999999999999</v>
      </c>
      <c r="G150" s="1" vm="236">
        <v>45476</v>
      </c>
      <c r="H150" s="4" vm="726">
        <v>1.0786</v>
      </c>
      <c r="I150" s="5">
        <f ca="1">(EURUSD[[#This Row],[Price]]-OFFSET(EURUSD[[#This Row],[Price]],-1,0))/OFFSET(EURUSD[[#This Row],[Price]],-1,0)</f>
        <v>3.909158600148903E-3</v>
      </c>
    </row>
    <row r="151" spans="4:9" x14ac:dyDescent="0.35">
      <c r="D151" vm="48">
        <f ca="1"/>
        <v>45566</v>
      </c>
      <c r="E151" vm="775">
        <f ca="1"/>
        <v>1.1067</v>
      </c>
      <c r="G151" s="1" vm="237">
        <v>45477</v>
      </c>
      <c r="H151" s="4" vm="727">
        <v>1.081</v>
      </c>
      <c r="I151" s="5">
        <f ca="1">(EURUSD[[#This Row],[Price]]-OFFSET(EURUSD[[#This Row],[Price]],-1,0))/OFFSET(EURUSD[[#This Row],[Price]],-1,0)</f>
        <v>2.2251066196921545E-3</v>
      </c>
    </row>
    <row r="152" spans="4:9" x14ac:dyDescent="0.35">
      <c r="D152" vm="49">
        <f ca="1"/>
        <v>45567</v>
      </c>
      <c r="E152" vm="776">
        <f ca="1"/>
        <v>1.1045</v>
      </c>
      <c r="G152" s="1" vm="238">
        <v>45478</v>
      </c>
      <c r="H152" s="4" vm="631">
        <v>1.0835999999999999</v>
      </c>
      <c r="I152" s="5">
        <f ca="1">(EURUSD[[#This Row],[Price]]-OFFSET(EURUSD[[#This Row],[Price]],-1,0))/OFFSET(EURUSD[[#This Row],[Price]],-1,0)</f>
        <v>2.4051803885290803E-3</v>
      </c>
    </row>
    <row r="153" spans="4:9" x14ac:dyDescent="0.35">
      <c r="D153" vm="50">
        <f ca="1"/>
        <v>45568</v>
      </c>
      <c r="E153" vm="777">
        <f ca="1"/>
        <v>1.1031</v>
      </c>
      <c r="G153" s="1" vm="239">
        <v>45481</v>
      </c>
      <c r="H153" s="4" vm="728">
        <v>1.0822000000000001</v>
      </c>
      <c r="I153" s="5">
        <f ca="1">(EURUSD[[#This Row],[Price]]-OFFSET(EURUSD[[#This Row],[Price]],-1,0))/OFFSET(EURUSD[[#This Row],[Price]],-1,0)</f>
        <v>-1.2919896640825451E-3</v>
      </c>
    </row>
    <row r="154" spans="4:9" x14ac:dyDescent="0.35">
      <c r="D154" vm="51">
        <f ca="1"/>
        <v>45569</v>
      </c>
      <c r="E154" vm="778">
        <f ca="1"/>
        <v>1.0975999999999999</v>
      </c>
      <c r="G154" s="1" vm="240">
        <v>45482</v>
      </c>
      <c r="H154" s="4" vm="729">
        <v>1.0811999999999999</v>
      </c>
      <c r="I154" s="5">
        <f ca="1">(EURUSD[[#This Row],[Price]]-OFFSET(EURUSD[[#This Row],[Price]],-1,0))/OFFSET(EURUSD[[#This Row],[Price]],-1,0)</f>
        <v>-9.2404361485872474E-4</v>
      </c>
    </row>
    <row r="155" spans="4:9" x14ac:dyDescent="0.35">
      <c r="D155" vm="52">
        <f ca="1"/>
        <v>45572</v>
      </c>
      <c r="E155" vm="779">
        <f ca="1"/>
        <v>1.0973999999999999</v>
      </c>
      <c r="G155" s="1" vm="241">
        <v>45483</v>
      </c>
      <c r="H155" s="4" vm="633">
        <v>1.083</v>
      </c>
      <c r="I155" s="5">
        <f ca="1">(EURUSD[[#This Row],[Price]]-OFFSET(EURUSD[[#This Row],[Price]],-1,0))/OFFSET(EURUSD[[#This Row],[Price]],-1,0)</f>
        <v>1.6648168701443062E-3</v>
      </c>
    </row>
    <row r="156" spans="4:9" x14ac:dyDescent="0.35">
      <c r="D156" vm="53">
        <f ca="1"/>
        <v>45573</v>
      </c>
      <c r="E156" vm="620">
        <f ca="1"/>
        <v>1.0980000000000001</v>
      </c>
      <c r="G156" s="1" vm="242">
        <v>45484</v>
      </c>
      <c r="H156" s="4" vm="623">
        <v>1.0865</v>
      </c>
      <c r="I156" s="5">
        <f ca="1">(EURUSD[[#This Row],[Price]]-OFFSET(EURUSD[[#This Row],[Price]],-1,0))/OFFSET(EURUSD[[#This Row],[Price]],-1,0)</f>
        <v>3.2317636195753081E-3</v>
      </c>
    </row>
    <row r="157" spans="4:9" x14ac:dyDescent="0.35">
      <c r="D157" vm="54">
        <f ca="1"/>
        <v>45574</v>
      </c>
      <c r="E157" vm="780">
        <f ca="1"/>
        <v>1.0939000000000001</v>
      </c>
      <c r="G157" s="1" vm="243">
        <v>45485</v>
      </c>
      <c r="H157" s="4" vm="730">
        <v>1.0906</v>
      </c>
      <c r="I157" s="5">
        <f ca="1">(EURUSD[[#This Row],[Price]]-OFFSET(EURUSD[[#This Row],[Price]],-1,0))/OFFSET(EURUSD[[#This Row],[Price]],-1,0)</f>
        <v>3.7735849056603704E-3</v>
      </c>
    </row>
    <row r="158" spans="4:9" x14ac:dyDescent="0.35">
      <c r="D158" vm="55">
        <f ca="1"/>
        <v>45575</v>
      </c>
      <c r="E158" vm="781">
        <f ca="1"/>
        <v>1.0934999999999999</v>
      </c>
      <c r="G158" s="1" vm="244">
        <v>45488</v>
      </c>
      <c r="H158" s="4" vm="616">
        <v>1.0893999999999999</v>
      </c>
      <c r="I158" s="5">
        <f ca="1">(EURUSD[[#This Row],[Price]]-OFFSET(EURUSD[[#This Row],[Price]],-1,0))/OFFSET(EURUSD[[#This Row],[Price]],-1,0)</f>
        <v>-1.1003117549973317E-3</v>
      </c>
    </row>
    <row r="159" spans="4:9" x14ac:dyDescent="0.35">
      <c r="D159" vm="56">
        <f ca="1"/>
        <v>45576</v>
      </c>
      <c r="E159" vm="610">
        <f ca="1"/>
        <v>1.0936999999999999</v>
      </c>
      <c r="G159" s="1" vm="245">
        <v>45489</v>
      </c>
      <c r="H159" s="4" vm="607">
        <v>1.0896999999999999</v>
      </c>
      <c r="I159" s="5">
        <f ca="1">(EURUSD[[#This Row],[Price]]-OFFSET(EURUSD[[#This Row],[Price]],-1,0))/OFFSET(EURUSD[[#This Row],[Price]],-1,0)</f>
        <v>2.753809436386699E-4</v>
      </c>
    </row>
    <row r="160" spans="4:9" x14ac:dyDescent="0.35">
      <c r="D160" vm="57">
        <f ca="1"/>
        <v>45579</v>
      </c>
      <c r="E160" vm="782">
        <f ca="1"/>
        <v>1.0909</v>
      </c>
      <c r="G160" s="1" vm="246">
        <v>45490</v>
      </c>
      <c r="H160" s="4" vm="610">
        <v>1.0936999999999999</v>
      </c>
      <c r="I160" s="5">
        <f ca="1">(EURUSD[[#This Row],[Price]]-OFFSET(EURUSD[[#This Row],[Price]],-1,0))/OFFSET(EURUSD[[#This Row],[Price]],-1,0)</f>
        <v>3.670735064696709E-3</v>
      </c>
    </row>
    <row r="161" spans="4:9" x14ac:dyDescent="0.35">
      <c r="D161" vm="58">
        <f ca="1"/>
        <v>45580</v>
      </c>
      <c r="E161" vm="783">
        <f ca="1"/>
        <v>1.089</v>
      </c>
      <c r="G161" s="1" vm="247">
        <v>45491</v>
      </c>
      <c r="H161" s="4" vm="731">
        <v>1.0895999999999999</v>
      </c>
      <c r="I161" s="5">
        <f ca="1">(EURUSD[[#This Row],[Price]]-OFFSET(EURUSD[[#This Row],[Price]],-1,0))/OFFSET(EURUSD[[#This Row],[Price]],-1,0)</f>
        <v>-3.7487427996708358E-3</v>
      </c>
    </row>
    <row r="162" spans="4:9" x14ac:dyDescent="0.35">
      <c r="D162" vm="59">
        <f ca="1"/>
        <v>45581</v>
      </c>
      <c r="E162" vm="784">
        <f ca="1"/>
        <v>1.0861000000000001</v>
      </c>
      <c r="G162" s="1" vm="248">
        <v>45492</v>
      </c>
      <c r="H162" s="4" vm="732">
        <v>1.0876999999999999</v>
      </c>
      <c r="I162" s="5">
        <f ca="1">(EURUSD[[#This Row],[Price]]-OFFSET(EURUSD[[#This Row],[Price]],-1,0))/OFFSET(EURUSD[[#This Row],[Price]],-1,0)</f>
        <v>-1.7437591776798943E-3</v>
      </c>
    </row>
    <row r="163" spans="4:9" x14ac:dyDescent="0.35">
      <c r="D163" vm="60">
        <f ca="1"/>
        <v>45582</v>
      </c>
      <c r="E163" vm="785">
        <f ca="1"/>
        <v>1.0831</v>
      </c>
      <c r="G163" s="1" vm="249">
        <v>45495</v>
      </c>
      <c r="H163" s="4" vm="733">
        <v>1.0889</v>
      </c>
      <c r="I163" s="5">
        <f ca="1">(EURUSD[[#This Row],[Price]]-OFFSET(EURUSD[[#This Row],[Price]],-1,0))/OFFSET(EURUSD[[#This Row],[Price]],-1,0)</f>
        <v>1.1032453801600533E-3</v>
      </c>
    </row>
    <row r="164" spans="4:9" x14ac:dyDescent="0.35">
      <c r="D164" vm="61">
        <f ca="1"/>
        <v>45583</v>
      </c>
      <c r="E164" vm="786">
        <f ca="1"/>
        <v>1.0866</v>
      </c>
      <c r="G164" s="1" vm="250">
        <v>45496</v>
      </c>
      <c r="H164" s="4" vm="663">
        <v>1.0851</v>
      </c>
      <c r="I164" s="5">
        <f ca="1">(EURUSD[[#This Row],[Price]]-OFFSET(EURUSD[[#This Row],[Price]],-1,0))/OFFSET(EURUSD[[#This Row],[Price]],-1,0)</f>
        <v>-3.4897603085683035E-3</v>
      </c>
    </row>
    <row r="165" spans="4:9" x14ac:dyDescent="0.35">
      <c r="D165" vm="62">
        <f ca="1"/>
        <v>45586</v>
      </c>
      <c r="E165" vm="737">
        <f ca="1"/>
        <v>1.0814999999999999</v>
      </c>
      <c r="G165" s="1" vm="251">
        <v>45497</v>
      </c>
      <c r="H165" s="4" vm="734">
        <v>1.0839000000000001</v>
      </c>
      <c r="I165" s="5">
        <f ca="1">(EURUSD[[#This Row],[Price]]-OFFSET(EURUSD[[#This Row],[Price]],-1,0))/OFFSET(EURUSD[[#This Row],[Price]],-1,0)</f>
        <v>-1.1058888581696321E-3</v>
      </c>
    </row>
    <row r="166" spans="4:9" x14ac:dyDescent="0.35">
      <c r="D166" vm="63">
        <f ca="1"/>
        <v>45587</v>
      </c>
      <c r="E166" vm="787">
        <f ca="1"/>
        <v>1.0797000000000001</v>
      </c>
      <c r="G166" s="1" vm="252">
        <v>45498</v>
      </c>
      <c r="H166" s="4" vm="704">
        <v>1.0844</v>
      </c>
      <c r="I166" s="5">
        <f ca="1">(EURUSD[[#This Row],[Price]]-OFFSET(EURUSD[[#This Row],[Price]],-1,0))/OFFSET(EURUSD[[#This Row],[Price]],-1,0)</f>
        <v>4.6129716763533985E-4</v>
      </c>
    </row>
    <row r="167" spans="4:9" x14ac:dyDescent="0.35">
      <c r="D167" vm="64">
        <f ca="1"/>
        <v>45588</v>
      </c>
      <c r="E167" vm="688">
        <f ca="1"/>
        <v>1.0781000000000001</v>
      </c>
      <c r="G167" s="1" vm="1">
        <v>45499</v>
      </c>
      <c r="H167" s="4" vm="735">
        <v>1.0857000000000001</v>
      </c>
      <c r="I167" s="5">
        <f ca="1">(EURUSD[[#This Row],[Price]]-OFFSET(EURUSD[[#This Row],[Price]],-1,0))/OFFSET(EURUSD[[#This Row],[Price]],-1,0)</f>
        <v>1.1988196237551446E-3</v>
      </c>
    </row>
    <row r="168" spans="4:9" x14ac:dyDescent="0.35">
      <c r="D168" vm="65">
        <f ca="1"/>
        <v>45589</v>
      </c>
      <c r="E168" vm="788">
        <f ca="1"/>
        <v>1.0827</v>
      </c>
      <c r="G168" s="1" vm="2">
        <v>45502</v>
      </c>
      <c r="H168" s="4" vm="736">
        <v>1.0819000000000001</v>
      </c>
      <c r="I168" s="5">
        <f ca="1">(EURUSD[[#This Row],[Price]]-OFFSET(EURUSD[[#This Row],[Price]],-1,0))/OFFSET(EURUSD[[#This Row],[Price]],-1,0)</f>
        <v>-3.500046053237566E-3</v>
      </c>
    </row>
    <row r="169" spans="4:9" x14ac:dyDescent="0.35">
      <c r="D169" vm="66">
        <f ca="1"/>
        <v>45590</v>
      </c>
      <c r="E169" vm="639">
        <f ca="1"/>
        <v>1.0792999999999999</v>
      </c>
      <c r="G169" s="1" vm="3">
        <v>45503</v>
      </c>
      <c r="H169" s="4" vm="737">
        <v>1.0814999999999999</v>
      </c>
      <c r="I169" s="5">
        <f ca="1">(EURUSD[[#This Row],[Price]]-OFFSET(EURUSD[[#This Row],[Price]],-1,0))/OFFSET(EURUSD[[#This Row],[Price]],-1,0)</f>
        <v>-3.697199371477752E-4</v>
      </c>
    </row>
    <row r="170" spans="4:9" x14ac:dyDescent="0.35">
      <c r="D170" vm="67">
        <f ca="1"/>
        <v>45593</v>
      </c>
      <c r="E170" vm="729">
        <f ca="1"/>
        <v>1.0811999999999999</v>
      </c>
      <c r="G170" s="1" vm="4">
        <v>45504</v>
      </c>
      <c r="H170" s="4" vm="738">
        <v>1.0825</v>
      </c>
      <c r="I170" s="5">
        <f ca="1">(EURUSD[[#This Row],[Price]]-OFFSET(EURUSD[[#This Row],[Price]],-1,0))/OFFSET(EURUSD[[#This Row],[Price]],-1,0)</f>
        <v>9.2464170134083407E-4</v>
      </c>
    </row>
    <row r="171" spans="4:9" x14ac:dyDescent="0.35">
      <c r="D171" vm="68">
        <f ca="1"/>
        <v>45594</v>
      </c>
      <c r="E171" vm="691">
        <f ca="1"/>
        <v>1.0818000000000001</v>
      </c>
      <c r="G171" s="1" vm="5">
        <v>45505</v>
      </c>
      <c r="H171" s="4" vm="739">
        <v>1.0790999999999999</v>
      </c>
      <c r="I171" s="5">
        <f ca="1">(EURUSD[[#This Row],[Price]]-OFFSET(EURUSD[[#This Row],[Price]],-1,0))/OFFSET(EURUSD[[#This Row],[Price]],-1,0)</f>
        <v>-3.1408775981524892E-3</v>
      </c>
    </row>
    <row r="172" spans="4:9" x14ac:dyDescent="0.35">
      <c r="D172" vm="69">
        <f ca="1"/>
        <v>45595</v>
      </c>
      <c r="E172" vm="651">
        <f ca="1"/>
        <v>1.0854999999999999</v>
      </c>
      <c r="G172" s="1" vm="6">
        <v>45506</v>
      </c>
      <c r="H172" s="4" vm="740">
        <v>1.0908</v>
      </c>
      <c r="I172" s="5">
        <f ca="1">(EURUSD[[#This Row],[Price]]-OFFSET(EURUSD[[#This Row],[Price]],-1,0))/OFFSET(EURUSD[[#This Row],[Price]],-1,0)</f>
        <v>1.0842368640533818E-2</v>
      </c>
    </row>
    <row r="173" spans="4:9" x14ac:dyDescent="0.35">
      <c r="D173" vm="70">
        <f ca="1"/>
        <v>45596</v>
      </c>
      <c r="E173" vm="664">
        <f ca="1"/>
        <v>1.0883</v>
      </c>
      <c r="G173" s="1" vm="7">
        <v>45509</v>
      </c>
      <c r="H173" s="4" vm="741">
        <v>1.0952</v>
      </c>
      <c r="I173" s="5">
        <f ca="1">(EURUSD[[#This Row],[Price]]-OFFSET(EURUSD[[#This Row],[Price]],-1,0))/OFFSET(EURUSD[[#This Row],[Price]],-1,0)</f>
        <v>4.0337367070039966E-3</v>
      </c>
    </row>
    <row r="174" spans="4:9" x14ac:dyDescent="0.35">
      <c r="D174" vm="71">
        <f ca="1"/>
        <v>45597</v>
      </c>
      <c r="E174" vm="789">
        <f ca="1"/>
        <v>1.0833999999999999</v>
      </c>
      <c r="G174" s="1" vm="8">
        <v>45510</v>
      </c>
      <c r="H174" s="4" vm="742">
        <v>1.093</v>
      </c>
      <c r="I174" s="5">
        <f ca="1">(EURUSD[[#This Row],[Price]]-OFFSET(EURUSD[[#This Row],[Price]],-1,0))/OFFSET(EURUSD[[#This Row],[Price]],-1,0)</f>
        <v>-2.0087655222790174E-3</v>
      </c>
    </row>
    <row r="175" spans="4:9" x14ac:dyDescent="0.35">
      <c r="D175" vm="72">
        <f ca="1"/>
        <v>45600</v>
      </c>
      <c r="E175" vm="732">
        <f ca="1"/>
        <v>1.0876999999999999</v>
      </c>
      <c r="G175" s="1" vm="9">
        <v>45511</v>
      </c>
      <c r="H175" s="4" vm="642">
        <v>1.0921000000000001</v>
      </c>
      <c r="I175" s="5">
        <f ca="1">(EURUSD[[#This Row],[Price]]-OFFSET(EURUSD[[#This Row],[Price]],-1,0))/OFFSET(EURUSD[[#This Row],[Price]],-1,0)</f>
        <v>-8.2342177493129087E-4</v>
      </c>
    </row>
    <row r="176" spans="4:9" x14ac:dyDescent="0.35">
      <c r="D176" vm="73">
        <f ca="1"/>
        <v>45601</v>
      </c>
      <c r="E176" vm="742">
        <f ca="1"/>
        <v>1.093</v>
      </c>
      <c r="G176" s="1" vm="10">
        <v>45512</v>
      </c>
      <c r="H176" s="4" vm="625">
        <v>1.0918000000000001</v>
      </c>
      <c r="I176" s="5">
        <f ca="1">(EURUSD[[#This Row],[Price]]-OFFSET(EURUSD[[#This Row],[Price]],-1,0))/OFFSET(EURUSD[[#This Row],[Price]],-1,0)</f>
        <v>-2.7470011903668796E-4</v>
      </c>
    </row>
    <row r="177" spans="4:9" x14ac:dyDescent="0.35">
      <c r="D177" vm="74">
        <f ca="1"/>
        <v>45602</v>
      </c>
      <c r="E177" vm="790">
        <f ca="1"/>
        <v>1.0728</v>
      </c>
      <c r="G177" s="1" vm="11">
        <v>45513</v>
      </c>
      <c r="H177" s="4" vm="743">
        <v>1.0915999999999999</v>
      </c>
      <c r="I177" s="5">
        <f ca="1">(EURUSD[[#This Row],[Price]]-OFFSET(EURUSD[[#This Row],[Price]],-1,0))/OFFSET(EURUSD[[#This Row],[Price]],-1,0)</f>
        <v>-1.8318373328466751E-4</v>
      </c>
    </row>
    <row r="178" spans="4:9" x14ac:dyDescent="0.35">
      <c r="D178" vm="75">
        <f ca="1"/>
        <v>45603</v>
      </c>
      <c r="E178" vm="791">
        <f ca="1"/>
        <v>1.0804</v>
      </c>
      <c r="G178" s="1" vm="12">
        <v>45516</v>
      </c>
      <c r="H178" s="4" vm="648">
        <v>1.0931</v>
      </c>
      <c r="I178" s="5">
        <f ca="1">(EURUSD[[#This Row],[Price]]-OFFSET(EURUSD[[#This Row],[Price]],-1,0))/OFFSET(EURUSD[[#This Row],[Price]],-1,0)</f>
        <v>1.3741297178454168E-3</v>
      </c>
    </row>
    <row r="179" spans="4:9" x14ac:dyDescent="0.35">
      <c r="D179" vm="76">
        <f ca="1"/>
        <v>45604</v>
      </c>
      <c r="E179" vm="792">
        <f ca="1"/>
        <v>1.0718000000000001</v>
      </c>
      <c r="G179" s="1" vm="13">
        <v>45517</v>
      </c>
      <c r="H179" s="4" vm="744">
        <v>1.0992</v>
      </c>
      <c r="I179" s="5">
        <f ca="1">(EURUSD[[#This Row],[Price]]-OFFSET(EURUSD[[#This Row],[Price]],-1,0))/OFFSET(EURUSD[[#This Row],[Price]],-1,0)</f>
        <v>5.5804592443509235E-3</v>
      </c>
    </row>
    <row r="180" spans="4:9" x14ac:dyDescent="0.35">
      <c r="D180" vm="77">
        <f ca="1"/>
        <v>45607</v>
      </c>
      <c r="E180" vm="662">
        <f ca="1"/>
        <v>1.0653999999999999</v>
      </c>
      <c r="G180" s="1" vm="14">
        <v>45518</v>
      </c>
      <c r="H180" s="4" vm="745">
        <v>1.1012</v>
      </c>
      <c r="I180" s="5">
        <f ca="1">(EURUSD[[#This Row],[Price]]-OFFSET(EURUSD[[#This Row],[Price]],-1,0))/OFFSET(EURUSD[[#This Row],[Price]],-1,0)</f>
        <v>1.8195050946142666E-3</v>
      </c>
    </row>
    <row r="181" spans="4:9" x14ac:dyDescent="0.35">
      <c r="D181" vm="78">
        <f ca="1"/>
        <v>45608</v>
      </c>
      <c r="E181" vm="793">
        <f ca="1"/>
        <v>1.0623</v>
      </c>
      <c r="G181" s="1" vm="15">
        <v>45519</v>
      </c>
      <c r="H181" s="4" vm="650">
        <v>1.0971</v>
      </c>
      <c r="I181" s="5">
        <f ca="1">(EURUSD[[#This Row],[Price]]-OFFSET(EURUSD[[#This Row],[Price]],-1,0))/OFFSET(EURUSD[[#This Row],[Price]],-1,0)</f>
        <v>-3.7232110424990851E-3</v>
      </c>
    </row>
    <row r="182" spans="4:9" x14ac:dyDescent="0.35">
      <c r="D182" vm="79">
        <f ca="1"/>
        <v>45609</v>
      </c>
      <c r="E182" vm="794">
        <f ca="1"/>
        <v>1.0563</v>
      </c>
      <c r="G182" s="1" vm="16">
        <v>45520</v>
      </c>
      <c r="H182" s="4" vm="746">
        <v>1.1028</v>
      </c>
      <c r="I182" s="5">
        <f ca="1">(EURUSD[[#This Row],[Price]]-OFFSET(EURUSD[[#This Row],[Price]],-1,0))/OFFSET(EURUSD[[#This Row],[Price]],-1,0)</f>
        <v>5.1955154498222935E-3</v>
      </c>
    </row>
    <row r="183" spans="4:9" x14ac:dyDescent="0.35">
      <c r="D183" vm="80">
        <f ca="1"/>
        <v>45610</v>
      </c>
      <c r="E183" vm="795">
        <f ca="1"/>
        <v>1.0529999999999999</v>
      </c>
      <c r="G183" s="1" vm="17">
        <v>45523</v>
      </c>
      <c r="H183" s="4" vm="747">
        <v>1.1085</v>
      </c>
      <c r="I183" s="5">
        <f ca="1">(EURUSD[[#This Row],[Price]]-OFFSET(EURUSD[[#This Row],[Price]],-1,0))/OFFSET(EURUSD[[#This Row],[Price]],-1,0)</f>
        <v>5.1686615886833865E-3</v>
      </c>
    </row>
    <row r="184" spans="4:9" x14ac:dyDescent="0.35">
      <c r="D184" vm="81">
        <f ca="1"/>
        <v>45611</v>
      </c>
      <c r="E184" vm="796">
        <f ca="1"/>
        <v>1.0541</v>
      </c>
      <c r="G184" s="1" vm="18">
        <v>45524</v>
      </c>
      <c r="H184" s="4" vm="748">
        <v>1.113</v>
      </c>
      <c r="I184" s="5">
        <f ca="1">(EURUSD[[#This Row],[Price]]-OFFSET(EURUSD[[#This Row],[Price]],-1,0))/OFFSET(EURUSD[[#This Row],[Price]],-1,0)</f>
        <v>4.0595399188091547E-3</v>
      </c>
    </row>
    <row r="185" spans="4:9" x14ac:dyDescent="0.35">
      <c r="D185" vm="82">
        <f ca="1"/>
        <v>45614</v>
      </c>
      <c r="E185" vm="797">
        <f ca="1"/>
        <v>1.0599000000000001</v>
      </c>
      <c r="G185" s="1" vm="19">
        <v>45525</v>
      </c>
      <c r="H185" s="4" vm="749">
        <v>1.115</v>
      </c>
      <c r="I185" s="5">
        <f ca="1">(EURUSD[[#This Row],[Price]]-OFFSET(EURUSD[[#This Row],[Price]],-1,0))/OFFSET(EURUSD[[#This Row],[Price]],-1,0)</f>
        <v>1.7969451931716099E-3</v>
      </c>
    </row>
    <row r="186" spans="4:9" x14ac:dyDescent="0.35">
      <c r="D186" vm="83">
        <f ca="1"/>
        <v>45615</v>
      </c>
      <c r="E186" vm="798">
        <f ca="1"/>
        <v>1.0595000000000001</v>
      </c>
      <c r="G186" s="1" vm="20">
        <v>45526</v>
      </c>
      <c r="H186" s="4" vm="750">
        <v>1.1112</v>
      </c>
      <c r="I186" s="5">
        <f ca="1">(EURUSD[[#This Row],[Price]]-OFFSET(EURUSD[[#This Row],[Price]],-1,0))/OFFSET(EURUSD[[#This Row],[Price]],-1,0)</f>
        <v>-3.4080717488789466E-3</v>
      </c>
    </row>
    <row r="187" spans="4:9" x14ac:dyDescent="0.35">
      <c r="D187" vm="84">
        <f ca="1"/>
        <v>45616</v>
      </c>
      <c r="E187" vm="799">
        <f ca="1"/>
        <v>1.0543</v>
      </c>
      <c r="G187" s="1" vm="21">
        <v>45527</v>
      </c>
      <c r="H187" s="4" vm="751">
        <v>1.119</v>
      </c>
      <c r="I187" s="5">
        <f ca="1">(EURUSD[[#This Row],[Price]]-OFFSET(EURUSD[[#This Row],[Price]],-1,0))/OFFSET(EURUSD[[#This Row],[Price]],-1,0)</f>
        <v>7.0194384449244326E-3</v>
      </c>
    </row>
    <row r="188" spans="4:9" x14ac:dyDescent="0.35">
      <c r="D188" vm="85">
        <f ca="1"/>
        <v>45617</v>
      </c>
      <c r="E188" vm="800">
        <f ca="1"/>
        <v>1.0472999999999999</v>
      </c>
      <c r="G188" s="1" vm="22">
        <v>45530</v>
      </c>
      <c r="H188" s="4" vm="752">
        <v>1.1161000000000001</v>
      </c>
      <c r="I188" s="5">
        <f ca="1">(EURUSD[[#This Row],[Price]]-OFFSET(EURUSD[[#This Row],[Price]],-1,0))/OFFSET(EURUSD[[#This Row],[Price]],-1,0)</f>
        <v>-2.5915996425378935E-3</v>
      </c>
    </row>
    <row r="189" spans="4:9" x14ac:dyDescent="0.35">
      <c r="D189" vm="86">
        <f ca="1"/>
        <v>45618</v>
      </c>
      <c r="E189" vm="801">
        <f ca="1"/>
        <v>1.0417000000000001</v>
      </c>
      <c r="G189" s="1" vm="23">
        <v>45531</v>
      </c>
      <c r="H189" s="4" vm="753">
        <v>1.1184000000000001</v>
      </c>
      <c r="I189" s="5">
        <f ca="1">(EURUSD[[#This Row],[Price]]-OFFSET(EURUSD[[#This Row],[Price]],-1,0))/OFFSET(EURUSD[[#This Row],[Price]],-1,0)</f>
        <v>2.0607472448705031E-3</v>
      </c>
    </row>
    <row r="190" spans="4:9" x14ac:dyDescent="0.35">
      <c r="D190" vm="87">
        <f ca="1"/>
        <v>45621</v>
      </c>
      <c r="E190" vm="802">
        <f ca="1"/>
        <v>1.0494000000000001</v>
      </c>
      <c r="G190" s="1" vm="24">
        <v>45532</v>
      </c>
      <c r="H190" s="4" vm="754">
        <v>1.1120000000000001</v>
      </c>
      <c r="I190" s="5">
        <f ca="1">(EURUSD[[#This Row],[Price]]-OFFSET(EURUSD[[#This Row],[Price]],-1,0))/OFFSET(EURUSD[[#This Row],[Price]],-1,0)</f>
        <v>-5.722460658082941E-3</v>
      </c>
    </row>
    <row r="191" spans="4:9" x14ac:dyDescent="0.35">
      <c r="D191" vm="88">
        <f ca="1"/>
        <v>45622</v>
      </c>
      <c r="E191" vm="803">
        <f ca="1"/>
        <v>1.0486</v>
      </c>
      <c r="G191" s="1" vm="25">
        <v>45533</v>
      </c>
      <c r="H191" s="4" vm="755">
        <v>1.1076999999999999</v>
      </c>
      <c r="I191" s="5">
        <f ca="1">(EURUSD[[#This Row],[Price]]-OFFSET(EURUSD[[#This Row],[Price]],-1,0))/OFFSET(EURUSD[[#This Row],[Price]],-1,0)</f>
        <v>-3.8669064748203166E-3</v>
      </c>
    </row>
    <row r="192" spans="4:9" x14ac:dyDescent="0.35">
      <c r="D192" vm="89">
        <f ca="1"/>
        <v>45623</v>
      </c>
      <c r="E192" vm="804">
        <f ca="1"/>
        <v>1.0564</v>
      </c>
      <c r="G192" s="1" vm="26">
        <v>45534</v>
      </c>
      <c r="H192" s="4" vm="756">
        <v>1.1047</v>
      </c>
      <c r="I192" s="5">
        <f ca="1">(EURUSD[[#This Row],[Price]]-OFFSET(EURUSD[[#This Row],[Price]],-1,0))/OFFSET(EURUSD[[#This Row],[Price]],-1,0)</f>
        <v>-2.7083145255934749E-3</v>
      </c>
    </row>
    <row r="193" spans="4:9" x14ac:dyDescent="0.35">
      <c r="D193" vm="90">
        <f ca="1"/>
        <v>45624</v>
      </c>
      <c r="E193" vm="805">
        <f ca="1"/>
        <v>1.0552999999999999</v>
      </c>
      <c r="G193" s="1" vm="27">
        <v>45537</v>
      </c>
      <c r="H193" s="4" vm="757">
        <v>1.1071</v>
      </c>
      <c r="I193" s="5">
        <f ca="1">(EURUSD[[#This Row],[Price]]-OFFSET(EURUSD[[#This Row],[Price]],-1,0))/OFFSET(EURUSD[[#This Row],[Price]],-1,0)</f>
        <v>2.1725355300081088E-3</v>
      </c>
    </row>
    <row r="194" spans="4:9" x14ac:dyDescent="0.35">
      <c r="D194" vm="489">
        <f ca="1"/>
        <v>45625</v>
      </c>
      <c r="E194" vm="806">
        <f ca="1"/>
        <v>1.0575000000000001</v>
      </c>
      <c r="G194" s="1" vm="28">
        <v>45538</v>
      </c>
      <c r="H194" s="4" vm="758">
        <v>1.1043000000000001</v>
      </c>
      <c r="I194" s="5">
        <f ca="1">(EURUSD[[#This Row],[Price]]-OFFSET(EURUSD[[#This Row],[Price]],-1,0))/OFFSET(EURUSD[[#This Row],[Price]],-1,0)</f>
        <v>-2.5291301598770787E-3</v>
      </c>
    </row>
    <row r="195" spans="4:9" x14ac:dyDescent="0.35">
      <c r="D195" vm="490">
        <f ca="1"/>
        <v>45628</v>
      </c>
      <c r="E195" vm="807">
        <f ca="1"/>
        <v>1.0497000000000001</v>
      </c>
      <c r="G195" s="1" vm="29">
        <v>45539</v>
      </c>
      <c r="H195" s="4" vm="759">
        <v>1.1082000000000001</v>
      </c>
      <c r="I195" s="5">
        <f ca="1">(EURUSD[[#This Row],[Price]]-OFFSET(EURUSD[[#This Row],[Price]],-1,0))/OFFSET(EURUSD[[#This Row],[Price]],-1,0)</f>
        <v>3.5316490084216375E-3</v>
      </c>
    </row>
    <row r="196" spans="4:9" x14ac:dyDescent="0.35">
      <c r="D196" vm="492">
        <f ca="1"/>
        <v>45629</v>
      </c>
      <c r="E196" vm="808">
        <f ca="1"/>
        <v>1.0508999999999999</v>
      </c>
      <c r="G196" s="1" vm="30">
        <v>45540</v>
      </c>
      <c r="H196" s="4" vm="760">
        <v>1.111</v>
      </c>
      <c r="I196" s="5">
        <f ca="1">(EURUSD[[#This Row],[Price]]-OFFSET(EURUSD[[#This Row],[Price]],-1,0))/OFFSET(EURUSD[[#This Row],[Price]],-1,0)</f>
        <v>2.5266197437284906E-3</v>
      </c>
    </row>
    <row r="197" spans="4:9" x14ac:dyDescent="0.35">
      <c r="D197" vm="493">
        <f ca="1"/>
        <v>45630</v>
      </c>
      <c r="E197" vm="809">
        <f ca="1"/>
        <v>1.0509999999999999</v>
      </c>
      <c r="G197" s="1" vm="31">
        <v>45541</v>
      </c>
      <c r="H197" s="4" vm="761">
        <v>1.1083000000000001</v>
      </c>
      <c r="I197" s="5">
        <f ca="1">(EURUSD[[#This Row],[Price]]-OFFSET(EURUSD[[#This Row],[Price]],-1,0))/OFFSET(EURUSD[[#This Row],[Price]],-1,0)</f>
        <v>-2.4302430243023625E-3</v>
      </c>
    </row>
    <row r="198" spans="4:9" x14ac:dyDescent="0.35">
      <c r="D198" vm="495">
        <f ca="1"/>
        <v>45631</v>
      </c>
      <c r="E198" vm="810">
        <f ca="1"/>
        <v>1.0586</v>
      </c>
      <c r="G198" s="1" vm="32">
        <v>45544</v>
      </c>
      <c r="H198" s="4" vm="762">
        <v>1.1033999999999999</v>
      </c>
      <c r="I198" s="5">
        <f ca="1">(EURUSD[[#This Row],[Price]]-OFFSET(EURUSD[[#This Row],[Price]],-1,0))/OFFSET(EURUSD[[#This Row],[Price]],-1,0)</f>
        <v>-4.4211855995670178E-3</v>
      </c>
    </row>
    <row r="199" spans="4:9" x14ac:dyDescent="0.35">
      <c r="D199" vm="497">
        <f ca="1"/>
        <v>45632</v>
      </c>
      <c r="E199" vm="811">
        <f ca="1"/>
        <v>1.0568</v>
      </c>
      <c r="G199" s="1" vm="33">
        <v>45545</v>
      </c>
      <c r="H199" s="4" vm="763">
        <v>1.1019000000000001</v>
      </c>
      <c r="I199" s="5">
        <f ca="1">(EURUSD[[#This Row],[Price]]-OFFSET(EURUSD[[#This Row],[Price]],-1,0))/OFFSET(EURUSD[[#This Row],[Price]],-1,0)</f>
        <v>-1.3594344752581428E-3</v>
      </c>
    </row>
    <row r="200" spans="4:9" x14ac:dyDescent="0.35">
      <c r="D200" vm="499">
        <f ca="1"/>
        <v>45635</v>
      </c>
      <c r="E200" vm="812">
        <f ca="1"/>
        <v>1.0551999999999999</v>
      </c>
      <c r="G200" s="1" vm="34">
        <v>45546</v>
      </c>
      <c r="H200" s="4" vm="764">
        <v>1.1011</v>
      </c>
      <c r="I200" s="5">
        <f ca="1">(EURUSD[[#This Row],[Price]]-OFFSET(EURUSD[[#This Row],[Price]],-1,0))/OFFSET(EURUSD[[#This Row],[Price]],-1,0)</f>
        <v>-7.2601869498151725E-4</v>
      </c>
    </row>
    <row r="201" spans="4:9" x14ac:dyDescent="0.35">
      <c r="D201" vm="501">
        <f ca="1"/>
        <v>45636</v>
      </c>
      <c r="E201" vm="813">
        <f ca="1"/>
        <v>1.0526</v>
      </c>
      <c r="G201" s="1" vm="35">
        <v>45547</v>
      </c>
      <c r="H201" s="4" vm="765">
        <v>1.1073999999999999</v>
      </c>
      <c r="I201" s="5">
        <f ca="1">(EURUSD[[#This Row],[Price]]-OFFSET(EURUSD[[#This Row],[Price]],-1,0))/OFFSET(EURUSD[[#This Row],[Price]],-1,0)</f>
        <v>5.7215511760966052E-3</v>
      </c>
    </row>
    <row r="202" spans="4:9" x14ac:dyDescent="0.35">
      <c r="D202" vm="503">
        <f ca="1"/>
        <v>45637</v>
      </c>
      <c r="E202" vm="802">
        <f ca="1"/>
        <v>1.0494000000000001</v>
      </c>
      <c r="G202" s="1" vm="36">
        <v>45548</v>
      </c>
      <c r="H202" s="4" vm="766">
        <v>1.1075999999999999</v>
      </c>
      <c r="I202" s="5">
        <f ca="1">(EURUSD[[#This Row],[Price]]-OFFSET(EURUSD[[#This Row],[Price]],-1,0))/OFFSET(EURUSD[[#This Row],[Price]],-1,0)</f>
        <v>1.8060321473720243E-4</v>
      </c>
    </row>
    <row r="203" spans="4:9" x14ac:dyDescent="0.35">
      <c r="D203" vm="505">
        <f ca="1"/>
        <v>45638</v>
      </c>
      <c r="E203" vm="814">
        <f ca="1"/>
        <v>1.0467</v>
      </c>
      <c r="G203" s="1" vm="37">
        <v>45551</v>
      </c>
      <c r="H203" s="4" vm="767">
        <v>1.1132</v>
      </c>
      <c r="I203" s="5">
        <f ca="1">(EURUSD[[#This Row],[Price]]-OFFSET(EURUSD[[#This Row],[Price]],-1,0))/OFFSET(EURUSD[[#This Row],[Price]],-1,0)</f>
        <v>5.0559768869628471E-3</v>
      </c>
    </row>
    <row r="204" spans="4:9" x14ac:dyDescent="0.35">
      <c r="D204" vm="507">
        <f ca="1"/>
        <v>45639</v>
      </c>
      <c r="E204" vm="815">
        <f ca="1"/>
        <v>1.0502</v>
      </c>
      <c r="G204" s="1" vm="38">
        <v>45552</v>
      </c>
      <c r="H204" s="4" vm="768">
        <v>1.1113</v>
      </c>
      <c r="I204" s="5">
        <f ca="1">(EURUSD[[#This Row],[Price]]-OFFSET(EURUSD[[#This Row],[Price]],-1,0))/OFFSET(EURUSD[[#This Row],[Price]],-1,0)</f>
        <v>-1.7067912324829435E-3</v>
      </c>
    </row>
    <row r="205" spans="4:9" x14ac:dyDescent="0.35">
      <c r="D205" vm="509">
        <f ca="1"/>
        <v>45642</v>
      </c>
      <c r="E205" vm="809">
        <f ca="1"/>
        <v>1.0509999999999999</v>
      </c>
      <c r="G205" s="1" vm="39">
        <v>45553</v>
      </c>
      <c r="H205" s="4" vm="769">
        <v>1.1117999999999999</v>
      </c>
      <c r="I205" s="5">
        <f ca="1">(EURUSD[[#This Row],[Price]]-OFFSET(EURUSD[[#This Row],[Price]],-1,0))/OFFSET(EURUSD[[#This Row],[Price]],-1,0)</f>
        <v>4.4992351300273997E-4</v>
      </c>
    </row>
    <row r="206" spans="4:9" x14ac:dyDescent="0.35">
      <c r="D206" vm="511">
        <f ca="1"/>
        <v>45643</v>
      </c>
      <c r="E206" vm="816">
        <f ca="1"/>
        <v>1.0488999999999999</v>
      </c>
      <c r="G206" s="1" vm="40">
        <v>45554</v>
      </c>
      <c r="H206" s="4" vm="752">
        <v>1.1161000000000001</v>
      </c>
      <c r="I206" s="5">
        <f ca="1">(EURUSD[[#This Row],[Price]]-OFFSET(EURUSD[[#This Row],[Price]],-1,0))/OFFSET(EURUSD[[#This Row],[Price]],-1,0)</f>
        <v>3.8676020867064159E-3</v>
      </c>
    </row>
    <row r="207" spans="4:9" x14ac:dyDescent="0.35">
      <c r="D207" vm="513">
        <f ca="1"/>
        <v>45644</v>
      </c>
      <c r="E207" vm="817">
        <f ca="1"/>
        <v>1.0351999999999999</v>
      </c>
      <c r="G207" s="1" vm="41">
        <v>45555</v>
      </c>
      <c r="H207" s="4" vm="770">
        <v>1.1162000000000001</v>
      </c>
      <c r="I207" s="5">
        <f ca="1">(EURUSD[[#This Row],[Price]]-OFFSET(EURUSD[[#This Row],[Price]],-1,0))/OFFSET(EURUSD[[#This Row],[Price]],-1,0)</f>
        <v>8.959770629870888E-5</v>
      </c>
    </row>
    <row r="208" spans="4:9" x14ac:dyDescent="0.35">
      <c r="D208" vm="515">
        <f ca="1"/>
        <v>45645</v>
      </c>
      <c r="E208" vm="818">
        <f ca="1"/>
        <v>1.0362</v>
      </c>
      <c r="G208" s="1" vm="42">
        <v>45558</v>
      </c>
      <c r="H208" s="4" vm="750">
        <v>1.1112</v>
      </c>
      <c r="I208" s="5">
        <f ca="1">(EURUSD[[#This Row],[Price]]-OFFSET(EURUSD[[#This Row],[Price]],-1,0))/OFFSET(EURUSD[[#This Row],[Price]],-1,0)</f>
        <v>-4.4794839634475139E-3</v>
      </c>
    </row>
    <row r="209" spans="4:9" x14ac:dyDescent="0.35">
      <c r="D209" vm="517">
        <f ca="1"/>
        <v>45646</v>
      </c>
      <c r="E209" vm="819">
        <f ca="1"/>
        <v>1.0428999999999999</v>
      </c>
      <c r="G209" s="1" vm="43">
        <v>45559</v>
      </c>
      <c r="H209" s="4" vm="771">
        <v>1.1180000000000001</v>
      </c>
      <c r="I209" s="5">
        <f ca="1">(EURUSD[[#This Row],[Price]]-OFFSET(EURUSD[[#This Row],[Price]],-1,0))/OFFSET(EURUSD[[#This Row],[Price]],-1,0)</f>
        <v>6.1195104391649924E-3</v>
      </c>
    </row>
    <row r="210" spans="4:9" x14ac:dyDescent="0.35">
      <c r="D210" vm="519">
        <f ca="1"/>
        <v>45649</v>
      </c>
      <c r="E210" vm="820">
        <f ca="1"/>
        <v>1.0405</v>
      </c>
      <c r="G210" s="1" vm="44">
        <v>45560</v>
      </c>
      <c r="H210" s="4" vm="767">
        <v>1.1132</v>
      </c>
      <c r="I210" s="5">
        <f ca="1">(EURUSD[[#This Row],[Price]]-OFFSET(EURUSD[[#This Row],[Price]],-1,0))/OFFSET(EURUSD[[#This Row],[Price]],-1,0)</f>
        <v>-4.2933810375672069E-3</v>
      </c>
    </row>
    <row r="211" spans="4:9" x14ac:dyDescent="0.35">
      <c r="D211" vm="520">
        <f ca="1"/>
        <v>45650</v>
      </c>
      <c r="E211" vm="821">
        <f ca="1"/>
        <v>1.0397000000000001</v>
      </c>
      <c r="G211" s="1" vm="45">
        <v>45561</v>
      </c>
      <c r="H211" s="4" vm="772">
        <v>1.1175999999999999</v>
      </c>
      <c r="I211" s="5">
        <f ca="1">(EURUSD[[#This Row],[Price]]-OFFSET(EURUSD[[#This Row],[Price]],-1,0))/OFFSET(EURUSD[[#This Row],[Price]],-1,0)</f>
        <v>3.9525691699604376E-3</v>
      </c>
    </row>
    <row r="212" spans="4:9" x14ac:dyDescent="0.35">
      <c r="D212" vm="522">
        <f ca="1"/>
        <v>45651</v>
      </c>
      <c r="E212" vm="822">
        <f ca="1"/>
        <v>1.0404</v>
      </c>
      <c r="G212" s="1" vm="46">
        <v>45562</v>
      </c>
      <c r="H212" s="4" vm="773">
        <v>1.1163000000000001</v>
      </c>
      <c r="I212" s="5">
        <f ca="1">(EURUSD[[#This Row],[Price]]-OFFSET(EURUSD[[#This Row],[Price]],-1,0))/OFFSET(EURUSD[[#This Row],[Price]],-1,0)</f>
        <v>-1.1632068718681612E-3</v>
      </c>
    </row>
    <row r="213" spans="4:9" x14ac:dyDescent="0.35">
      <c r="D213" vm="524">
        <f ca="1"/>
        <v>45652</v>
      </c>
      <c r="E213" vm="823">
        <f ca="1"/>
        <v>1.0422</v>
      </c>
      <c r="G213" s="1" vm="47">
        <v>45565</v>
      </c>
      <c r="H213" s="4" vm="774">
        <v>1.1133999999999999</v>
      </c>
      <c r="I213" s="5">
        <f ca="1">(EURUSD[[#This Row],[Price]]-OFFSET(EURUSD[[#This Row],[Price]],-1,0))/OFFSET(EURUSD[[#This Row],[Price]],-1,0)</f>
        <v>-2.5978679566425913E-3</v>
      </c>
    </row>
    <row r="214" spans="4:9" x14ac:dyDescent="0.35">
      <c r="D214" vm="526">
        <f ca="1"/>
        <v>45653</v>
      </c>
      <c r="E214" vm="824">
        <f ca="1"/>
        <v>1.0427</v>
      </c>
      <c r="G214" s="1" vm="48">
        <v>45566</v>
      </c>
      <c r="H214" s="4" vm="775">
        <v>1.1067</v>
      </c>
      <c r="I214" s="5">
        <f ca="1">(EURUSD[[#This Row],[Price]]-OFFSET(EURUSD[[#This Row],[Price]],-1,0))/OFFSET(EURUSD[[#This Row],[Price]],-1,0)</f>
        <v>-6.0176037363031511E-3</v>
      </c>
    </row>
    <row r="215" spans="4:9" x14ac:dyDescent="0.35">
      <c r="D215" vm="528">
        <f ca="1"/>
        <v>45656</v>
      </c>
      <c r="E215" vm="825">
        <f ca="1"/>
        <v>1.0407</v>
      </c>
      <c r="G215" s="1" vm="49">
        <v>45567</v>
      </c>
      <c r="H215" s="4" vm="776">
        <v>1.1045</v>
      </c>
      <c r="I215" s="5">
        <f ca="1">(EURUSD[[#This Row],[Price]]-OFFSET(EURUSD[[#This Row],[Price]],-1,0))/OFFSET(EURUSD[[#This Row],[Price]],-1,0)</f>
        <v>-1.9878919309659166E-3</v>
      </c>
    </row>
    <row r="216" spans="4:9" x14ac:dyDescent="0.35">
      <c r="D216" vm="530">
        <f ca="1"/>
        <v>45657</v>
      </c>
      <c r="E216" vm="826">
        <f ca="1"/>
        <v>1.0353000000000001</v>
      </c>
      <c r="G216" s="1" vm="50">
        <v>45568</v>
      </c>
      <c r="H216" s="4" vm="777">
        <v>1.1031</v>
      </c>
      <c r="I216" s="5">
        <f ca="1">(EURUSD[[#This Row],[Price]]-OFFSET(EURUSD[[#This Row],[Price]],-1,0))/OFFSET(EURUSD[[#This Row],[Price]],-1,0)</f>
        <v>-1.267541874151261E-3</v>
      </c>
    </row>
    <row r="217" spans="4:9" x14ac:dyDescent="0.35">
      <c r="D217" vm="531">
        <f ca="1"/>
        <v>45658</v>
      </c>
      <c r="E217" vm="827">
        <f ca="1"/>
        <v>1.0355000000000001</v>
      </c>
      <c r="G217" s="1" vm="51">
        <v>45569</v>
      </c>
      <c r="H217" s="4" vm="778">
        <v>1.0975999999999999</v>
      </c>
      <c r="I217" s="5">
        <f ca="1">(EURUSD[[#This Row],[Price]]-OFFSET(EURUSD[[#This Row],[Price]],-1,0))/OFFSET(EURUSD[[#This Row],[Price]],-1,0)</f>
        <v>-4.9859486900553536E-3</v>
      </c>
    </row>
    <row r="218" spans="4:9" x14ac:dyDescent="0.35">
      <c r="D218" vm="533">
        <f ca="1"/>
        <v>45659</v>
      </c>
      <c r="E218" vm="828">
        <f ca="1"/>
        <v>1.0265</v>
      </c>
      <c r="G218" s="1" vm="52">
        <v>45572</v>
      </c>
      <c r="H218" s="4" vm="779">
        <v>1.0973999999999999</v>
      </c>
      <c r="I218" s="5">
        <f ca="1">(EURUSD[[#This Row],[Price]]-OFFSET(EURUSD[[#This Row],[Price]],-1,0))/OFFSET(EURUSD[[#This Row],[Price]],-1,0)</f>
        <v>-1.8221574344021318E-4</v>
      </c>
    </row>
    <row r="219" spans="4:9" x14ac:dyDescent="0.35">
      <c r="D219" vm="535">
        <f ca="1"/>
        <v>45660</v>
      </c>
      <c r="E219" vm="829">
        <f ca="1"/>
        <v>1.0307999999999999</v>
      </c>
      <c r="G219" s="1" vm="53">
        <v>45573</v>
      </c>
      <c r="H219" s="4" vm="620">
        <v>1.0980000000000001</v>
      </c>
      <c r="I219" s="5">
        <f ca="1">(EURUSD[[#This Row],[Price]]-OFFSET(EURUSD[[#This Row],[Price]],-1,0))/OFFSET(EURUSD[[#This Row],[Price]],-1,0)</f>
        <v>5.4674685620571893E-4</v>
      </c>
    </row>
    <row r="220" spans="4:9" x14ac:dyDescent="0.35">
      <c r="D220" vm="537">
        <f ca="1"/>
        <v>45663</v>
      </c>
      <c r="E220" vm="830">
        <f ca="1"/>
        <v>1.0389999999999999</v>
      </c>
      <c r="G220" s="1" vm="54">
        <v>45574</v>
      </c>
      <c r="H220" s="4" vm="780">
        <v>1.0939000000000001</v>
      </c>
      <c r="I220" s="5">
        <f ca="1">(EURUSD[[#This Row],[Price]]-OFFSET(EURUSD[[#This Row],[Price]],-1,0))/OFFSET(EURUSD[[#This Row],[Price]],-1,0)</f>
        <v>-3.7340619307832351E-3</v>
      </c>
    </row>
    <row r="221" spans="4:9" x14ac:dyDescent="0.35">
      <c r="D221" vm="538">
        <f ca="1"/>
        <v>45664</v>
      </c>
      <c r="E221" vm="831">
        <f ca="1"/>
        <v>1.0339</v>
      </c>
      <c r="G221" s="1" vm="55">
        <v>45575</v>
      </c>
      <c r="H221" s="4" vm="781">
        <v>1.0934999999999999</v>
      </c>
      <c r="I221" s="5">
        <f ca="1">(EURUSD[[#This Row],[Price]]-OFFSET(EURUSD[[#This Row],[Price]],-1,0))/OFFSET(EURUSD[[#This Row],[Price]],-1,0)</f>
        <v>-3.656641374898784E-4</v>
      </c>
    </row>
    <row r="222" spans="4:9" x14ac:dyDescent="0.35">
      <c r="D222" vm="540">
        <f ca="1"/>
        <v>45665</v>
      </c>
      <c r="E222" vm="832">
        <f ca="1"/>
        <v>1.0318000000000001</v>
      </c>
      <c r="G222" s="1" vm="56">
        <v>45576</v>
      </c>
      <c r="H222" s="4" vm="610">
        <v>1.0936999999999999</v>
      </c>
      <c r="I222" s="5">
        <f ca="1">(EURUSD[[#This Row],[Price]]-OFFSET(EURUSD[[#This Row],[Price]],-1,0))/OFFSET(EURUSD[[#This Row],[Price]],-1,0)</f>
        <v>1.8289894833102696E-4</v>
      </c>
    </row>
    <row r="223" spans="4:9" x14ac:dyDescent="0.35">
      <c r="D223" vm="542">
        <f ca="1"/>
        <v>45666</v>
      </c>
      <c r="E223" vm="833">
        <f ca="1"/>
        <v>1.0298</v>
      </c>
      <c r="G223" s="1" vm="57">
        <v>45579</v>
      </c>
      <c r="H223" s="4" vm="782">
        <v>1.0909</v>
      </c>
      <c r="I223" s="5">
        <f ca="1">(EURUSD[[#This Row],[Price]]-OFFSET(EURUSD[[#This Row],[Price]],-1,0))/OFFSET(EURUSD[[#This Row],[Price]],-1,0)</f>
        <v>-2.5601170339214722E-3</v>
      </c>
    </row>
    <row r="224" spans="4:9" x14ac:dyDescent="0.35">
      <c r="D224" vm="544">
        <f ca="1"/>
        <v>45667</v>
      </c>
      <c r="E224" vm="834">
        <f ca="1"/>
        <v>1.0244</v>
      </c>
      <c r="G224" s="1" vm="58">
        <v>45580</v>
      </c>
      <c r="H224" s="4" vm="783">
        <v>1.089</v>
      </c>
      <c r="I224" s="5">
        <f ca="1">(EURUSD[[#This Row],[Price]]-OFFSET(EURUSD[[#This Row],[Price]],-1,0))/OFFSET(EURUSD[[#This Row],[Price]],-1,0)</f>
        <v>-1.7416811806765175E-3</v>
      </c>
    </row>
    <row r="225" spans="4:9" x14ac:dyDescent="0.35">
      <c r="D225" vm="546">
        <f ca="1"/>
        <v>45670</v>
      </c>
      <c r="E225" vm="834">
        <f ca="1"/>
        <v>1.0244</v>
      </c>
      <c r="G225" s="1" vm="59">
        <v>45581</v>
      </c>
      <c r="H225" s="4" vm="784">
        <v>1.0861000000000001</v>
      </c>
      <c r="I225" s="5">
        <f ca="1">(EURUSD[[#This Row],[Price]]-OFFSET(EURUSD[[#This Row],[Price]],-1,0))/OFFSET(EURUSD[[#This Row],[Price]],-1,0)</f>
        <v>-2.6629935720843918E-3</v>
      </c>
    </row>
    <row r="226" spans="4:9" x14ac:dyDescent="0.35">
      <c r="D226" vm="548">
        <f ca="1"/>
        <v>45671</v>
      </c>
      <c r="E226" vm="835">
        <f ca="1"/>
        <v>1.0306999999999999</v>
      </c>
      <c r="G226" s="1" vm="60">
        <v>45582</v>
      </c>
      <c r="H226" s="4" vm="785">
        <v>1.0831</v>
      </c>
      <c r="I226" s="5">
        <f ca="1">(EURUSD[[#This Row],[Price]]-OFFSET(EURUSD[[#This Row],[Price]],-1,0))/OFFSET(EURUSD[[#This Row],[Price]],-1,0)</f>
        <v>-2.7621765951570884E-3</v>
      </c>
    </row>
    <row r="227" spans="4:9" x14ac:dyDescent="0.35">
      <c r="D227" vm="550">
        <f ca="1"/>
        <v>45672</v>
      </c>
      <c r="E227" vm="836">
        <f ca="1"/>
        <v>1.0288999999999999</v>
      </c>
      <c r="G227" s="1" vm="61">
        <v>45583</v>
      </c>
      <c r="H227" s="4" vm="786">
        <v>1.0866</v>
      </c>
      <c r="I227" s="5">
        <f ca="1">(EURUSD[[#This Row],[Price]]-OFFSET(EURUSD[[#This Row],[Price]],-1,0))/OFFSET(EURUSD[[#This Row],[Price]],-1,0)</f>
        <v>3.2314652386668439E-3</v>
      </c>
    </row>
    <row r="228" spans="4:9" x14ac:dyDescent="0.35">
      <c r="D228" vm="552">
        <f ca="1"/>
        <v>45673</v>
      </c>
      <c r="E228" vm="833">
        <f ca="1"/>
        <v>1.0298</v>
      </c>
      <c r="G228" s="1" vm="62">
        <v>45586</v>
      </c>
      <c r="H228" s="4" vm="737">
        <v>1.0814999999999999</v>
      </c>
      <c r="I228" s="5">
        <f ca="1">(EURUSD[[#This Row],[Price]]-OFFSET(EURUSD[[#This Row],[Price]],-1,0))/OFFSET(EURUSD[[#This Row],[Price]],-1,0)</f>
        <v>-4.6935394809498477E-3</v>
      </c>
    </row>
    <row r="229" spans="4:9" x14ac:dyDescent="0.35">
      <c r="D229" vm="554">
        <f ca="1"/>
        <v>45674</v>
      </c>
      <c r="E229" vm="837">
        <f ca="1"/>
        <v>1.0270999999999999</v>
      </c>
      <c r="G229" s="1" vm="63">
        <v>45587</v>
      </c>
      <c r="H229" s="4" vm="787">
        <v>1.0797000000000001</v>
      </c>
      <c r="I229" s="5">
        <f ca="1">(EURUSD[[#This Row],[Price]]-OFFSET(EURUSD[[#This Row],[Price]],-1,0))/OFFSET(EURUSD[[#This Row],[Price]],-1,0)</f>
        <v>-1.6643550624131317E-3</v>
      </c>
    </row>
    <row r="230" spans="4:9" x14ac:dyDescent="0.35">
      <c r="D230" vm="556">
        <f ca="1"/>
        <v>45677</v>
      </c>
      <c r="E230" vm="838">
        <f ca="1"/>
        <v>1.0414000000000001</v>
      </c>
      <c r="G230" s="1" vm="64">
        <v>45588</v>
      </c>
      <c r="H230" s="4" vm="688">
        <v>1.0781000000000001</v>
      </c>
      <c r="I230" s="5">
        <f ca="1">(EURUSD[[#This Row],[Price]]-OFFSET(EURUSD[[#This Row],[Price]],-1,0))/OFFSET(EURUSD[[#This Row],[Price]],-1,0)</f>
        <v>-1.4818931184588735E-3</v>
      </c>
    </row>
    <row r="231" spans="4:9" x14ac:dyDescent="0.35">
      <c r="D231" vm="558">
        <f ca="1"/>
        <v>45678</v>
      </c>
      <c r="E231" vm="819">
        <f ca="1"/>
        <v>1.0428999999999999</v>
      </c>
      <c r="G231" s="1" vm="65">
        <v>45589</v>
      </c>
      <c r="H231" s="4" vm="788">
        <v>1.0827</v>
      </c>
      <c r="I231" s="5">
        <f ca="1">(EURUSD[[#This Row],[Price]]-OFFSET(EURUSD[[#This Row],[Price]],-1,0))/OFFSET(EURUSD[[#This Row],[Price]],-1,0)</f>
        <v>4.2667656061589248E-3</v>
      </c>
    </row>
    <row r="232" spans="4:9" x14ac:dyDescent="0.35">
      <c r="D232" vm="560">
        <f ca="1"/>
        <v>45679</v>
      </c>
      <c r="E232" vm="825">
        <f ca="1"/>
        <v>1.0407</v>
      </c>
      <c r="G232" s="1" vm="66">
        <v>45590</v>
      </c>
      <c r="H232" s="4" vm="639">
        <v>1.0792999999999999</v>
      </c>
      <c r="I232" s="5">
        <f ca="1">(EURUSD[[#This Row],[Price]]-OFFSET(EURUSD[[#This Row],[Price]],-1,0))/OFFSET(EURUSD[[#This Row],[Price]],-1,0)</f>
        <v>-3.1402974046366209E-3</v>
      </c>
    </row>
    <row r="233" spans="4:9" x14ac:dyDescent="0.35">
      <c r="D233" vm="562">
        <f ca="1"/>
        <v>45680</v>
      </c>
      <c r="E233" vm="839">
        <f ca="1"/>
        <v>1.0415000000000001</v>
      </c>
      <c r="G233" s="1" vm="67">
        <v>45593</v>
      </c>
      <c r="H233" s="4" vm="729">
        <v>1.0811999999999999</v>
      </c>
      <c r="I233" s="5">
        <f ca="1">(EURUSD[[#This Row],[Price]]-OFFSET(EURUSD[[#This Row],[Price]],-1,0))/OFFSET(EURUSD[[#This Row],[Price]],-1,0)</f>
        <v>1.7604002594274186E-3</v>
      </c>
    </row>
    <row r="234" spans="4:9" x14ac:dyDescent="0.35">
      <c r="D234" vm="564">
        <f ca="1"/>
        <v>45681</v>
      </c>
      <c r="E234" vm="840">
        <f ca="1"/>
        <v>1.0492999999999999</v>
      </c>
      <c r="G234" s="1" vm="68">
        <v>45594</v>
      </c>
      <c r="H234" s="4" vm="691">
        <v>1.0818000000000001</v>
      </c>
      <c r="I234" s="5">
        <f ca="1">(EURUSD[[#This Row],[Price]]-OFFSET(EURUSD[[#This Row],[Price]],-1,0))/OFFSET(EURUSD[[#This Row],[Price]],-1,0)</f>
        <v>5.5493895671490569E-4</v>
      </c>
    </row>
    <row r="235" spans="4:9" x14ac:dyDescent="0.35">
      <c r="D235" vm="566">
        <f ca="1"/>
        <v>45684</v>
      </c>
      <c r="E235" vm="841">
        <f ca="1"/>
        <v>1.0490999999999999</v>
      </c>
      <c r="G235" s="1" vm="69">
        <v>45595</v>
      </c>
      <c r="H235" s="4" vm="651">
        <v>1.0854999999999999</v>
      </c>
      <c r="I235" s="5">
        <f ca="1">(EURUSD[[#This Row],[Price]]-OFFSET(EURUSD[[#This Row],[Price]],-1,0))/OFFSET(EURUSD[[#This Row],[Price]],-1,0)</f>
        <v>3.420225550009072E-3</v>
      </c>
    </row>
    <row r="236" spans="4:9" x14ac:dyDescent="0.35">
      <c r="D236" vm="568">
        <f ca="1"/>
        <v>45685</v>
      </c>
      <c r="E236" vm="842">
        <f ca="1"/>
        <v>1.0427999999999999</v>
      </c>
      <c r="G236" s="1" vm="70">
        <v>45596</v>
      </c>
      <c r="H236" s="4" vm="664">
        <v>1.0883</v>
      </c>
      <c r="I236" s="5">
        <f ca="1">(EURUSD[[#This Row],[Price]]-OFFSET(EURUSD[[#This Row],[Price]],-1,0))/OFFSET(EURUSD[[#This Row],[Price]],-1,0)</f>
        <v>2.5794564716721657E-3</v>
      </c>
    </row>
    <row r="237" spans="4:9" x14ac:dyDescent="0.35">
      <c r="D237" vm="570">
        <f ca="1"/>
        <v>45686</v>
      </c>
      <c r="E237" vm="843">
        <f ca="1"/>
        <v>1.042</v>
      </c>
      <c r="G237" s="1" vm="71">
        <v>45597</v>
      </c>
      <c r="H237" s="4" vm="789">
        <v>1.0833999999999999</v>
      </c>
      <c r="I237" s="5">
        <f ca="1">(EURUSD[[#This Row],[Price]]-OFFSET(EURUSD[[#This Row],[Price]],-1,0))/OFFSET(EURUSD[[#This Row],[Price]],-1,0)</f>
        <v>-4.5024349903520413E-3</v>
      </c>
    </row>
    <row r="238" spans="4:9" x14ac:dyDescent="0.35">
      <c r="D238" vm="572">
        <f ca="1"/>
        <v>45687</v>
      </c>
      <c r="E238" vm="830">
        <f ca="1"/>
        <v>1.0389999999999999</v>
      </c>
      <c r="G238" s="1" vm="72">
        <v>45600</v>
      </c>
      <c r="H238" s="4" vm="732">
        <v>1.0876999999999999</v>
      </c>
      <c r="I238" s="5">
        <f ca="1">(EURUSD[[#This Row],[Price]]-OFFSET(EURUSD[[#This Row],[Price]],-1,0))/OFFSET(EURUSD[[#This Row],[Price]],-1,0)</f>
        <v>3.9689865239061943E-3</v>
      </c>
    </row>
    <row r="239" spans="4:9" x14ac:dyDescent="0.35">
      <c r="D239" vm="574">
        <f ca="1"/>
        <v>45688</v>
      </c>
      <c r="E239" vm="818">
        <f ca="1"/>
        <v>1.0362</v>
      </c>
      <c r="G239" s="1" vm="73">
        <v>45601</v>
      </c>
      <c r="H239" s="4" vm="742">
        <v>1.093</v>
      </c>
      <c r="I239" s="5">
        <f ca="1">(EURUSD[[#This Row],[Price]]-OFFSET(EURUSD[[#This Row],[Price]],-1,0))/OFFSET(EURUSD[[#This Row],[Price]],-1,0)</f>
        <v>4.8726670957066126E-3</v>
      </c>
    </row>
    <row r="240" spans="4:9" x14ac:dyDescent="0.35">
      <c r="D240" vm="576">
        <f ca="1"/>
        <v>45691</v>
      </c>
      <c r="E240" vm="844">
        <f ca="1"/>
        <v>1.0344</v>
      </c>
      <c r="G240" s="1" vm="74">
        <v>45602</v>
      </c>
      <c r="H240" s="4" vm="790">
        <v>1.0728</v>
      </c>
      <c r="I240" s="5">
        <f ca="1">(EURUSD[[#This Row],[Price]]-OFFSET(EURUSD[[#This Row],[Price]],-1,0))/OFFSET(EURUSD[[#This Row],[Price]],-1,0)</f>
        <v>-1.8481244281793225E-2</v>
      </c>
    </row>
    <row r="241" spans="4:9" x14ac:dyDescent="0.35">
      <c r="D241" vm="578">
        <f ca="1"/>
        <v>45692</v>
      </c>
      <c r="E241" vm="845">
        <f ca="1"/>
        <v>1.0377000000000001</v>
      </c>
      <c r="G241" s="1" vm="75">
        <v>45603</v>
      </c>
      <c r="H241" s="4" vm="791">
        <v>1.0804</v>
      </c>
      <c r="I241" s="5">
        <f ca="1">(EURUSD[[#This Row],[Price]]-OFFSET(EURUSD[[#This Row],[Price]],-1,0))/OFFSET(EURUSD[[#This Row],[Price]],-1,0)</f>
        <v>7.0842654735272662E-3</v>
      </c>
    </row>
    <row r="242" spans="4:9" x14ac:dyDescent="0.35">
      <c r="D242" vm="580">
        <f ca="1"/>
        <v>45693</v>
      </c>
      <c r="E242" vm="846">
        <f ca="1"/>
        <v>1.0402</v>
      </c>
      <c r="G242" s="1" vm="76">
        <v>45604</v>
      </c>
      <c r="H242" s="4" vm="792">
        <v>1.0718000000000001</v>
      </c>
      <c r="I242" s="5">
        <f ca="1">(EURUSD[[#This Row],[Price]]-OFFSET(EURUSD[[#This Row],[Price]],-1,0))/OFFSET(EURUSD[[#This Row],[Price]],-1,0)</f>
        <v>-7.9600148093298233E-3</v>
      </c>
    </row>
    <row r="243" spans="4:9" x14ac:dyDescent="0.35">
      <c r="D243" vm="582">
        <f ca="1"/>
        <v>45694</v>
      </c>
      <c r="E243" vm="847">
        <f ca="1"/>
        <v>1.0381</v>
      </c>
      <c r="G243" s="1" vm="77">
        <v>45607</v>
      </c>
      <c r="H243" s="4" vm="662">
        <v>1.0653999999999999</v>
      </c>
      <c r="I243" s="5">
        <f ca="1">(EURUSD[[#This Row],[Price]]-OFFSET(EURUSD[[#This Row],[Price]],-1,0))/OFFSET(EURUSD[[#This Row],[Price]],-1,0)</f>
        <v>-5.9712632953911014E-3</v>
      </c>
    </row>
    <row r="244" spans="4:9" x14ac:dyDescent="0.35">
      <c r="D244" vm="584">
        <f ca="1"/>
        <v>45695</v>
      </c>
      <c r="E244" vm="848">
        <f ca="1"/>
        <v>1.0327</v>
      </c>
      <c r="G244" s="1" vm="78">
        <v>45608</v>
      </c>
      <c r="H244" s="4" vm="793">
        <v>1.0623</v>
      </c>
      <c r="I244" s="5">
        <f ca="1">(EURUSD[[#This Row],[Price]]-OFFSET(EURUSD[[#This Row],[Price]],-1,0))/OFFSET(EURUSD[[#This Row],[Price]],-1,0)</f>
        <v>-2.9097052750139676E-3</v>
      </c>
    </row>
    <row r="245" spans="4:9" x14ac:dyDescent="0.35">
      <c r="D245" vm="586">
        <f ca="1"/>
        <v>45698</v>
      </c>
      <c r="E245" vm="849">
        <f ca="1"/>
        <v>1.0306</v>
      </c>
      <c r="G245" s="1" vm="79">
        <v>45609</v>
      </c>
      <c r="H245" s="4" vm="794">
        <v>1.0563</v>
      </c>
      <c r="I245" s="5">
        <f ca="1">(EURUSD[[#This Row],[Price]]-OFFSET(EURUSD[[#This Row],[Price]],-1,0))/OFFSET(EURUSD[[#This Row],[Price]],-1,0)</f>
        <v>-5.6481219994351925E-3</v>
      </c>
    </row>
    <row r="246" spans="4:9" x14ac:dyDescent="0.35">
      <c r="D246" vm="588">
        <f ca="1"/>
        <v>45699</v>
      </c>
      <c r="E246" vm="850">
        <f ca="1"/>
        <v>1.036</v>
      </c>
      <c r="G246" s="1" vm="80">
        <v>45610</v>
      </c>
      <c r="H246" s="4" vm="795">
        <v>1.0529999999999999</v>
      </c>
      <c r="I246" s="5">
        <f ca="1">(EURUSD[[#This Row],[Price]]-OFFSET(EURUSD[[#This Row],[Price]],-1,0))/OFFSET(EURUSD[[#This Row],[Price]],-1,0)</f>
        <v>-3.1241124680489261E-3</v>
      </c>
    </row>
    <row r="247" spans="4:9" x14ac:dyDescent="0.35">
      <c r="D247" vm="590">
        <f ca="1"/>
        <v>45700</v>
      </c>
      <c r="E247" vm="851">
        <f ca="1"/>
        <v>1.0382</v>
      </c>
      <c r="G247" s="1" vm="81">
        <v>45611</v>
      </c>
      <c r="H247" s="4" vm="796">
        <v>1.0541</v>
      </c>
      <c r="I247" s="5">
        <f ca="1">(EURUSD[[#This Row],[Price]]-OFFSET(EURUSD[[#This Row],[Price]],-1,0))/OFFSET(EURUSD[[#This Row],[Price]],-1,0)</f>
        <v>1.0446343779678072E-3</v>
      </c>
    </row>
    <row r="248" spans="4:9" x14ac:dyDescent="0.35">
      <c r="D248" vm="592">
        <f ca="1"/>
        <v>45701</v>
      </c>
      <c r="E248" vm="852">
        <f ca="1"/>
        <v>1.0464</v>
      </c>
      <c r="G248" s="1" vm="82">
        <v>45614</v>
      </c>
      <c r="H248" s="4" vm="797">
        <v>1.0599000000000001</v>
      </c>
      <c r="I248" s="5">
        <f ca="1">(EURUSD[[#This Row],[Price]]-OFFSET(EURUSD[[#This Row],[Price]],-1,0))/OFFSET(EURUSD[[#This Row],[Price]],-1,0)</f>
        <v>5.5023242576605893E-3</v>
      </c>
    </row>
    <row r="249" spans="4:9" x14ac:dyDescent="0.35">
      <c r="D249" vm="594">
        <f ca="1"/>
        <v>45702</v>
      </c>
      <c r="E249" vm="841">
        <f ca="1"/>
        <v>1.0490999999999999</v>
      </c>
      <c r="G249" s="1" vm="83">
        <v>45615</v>
      </c>
      <c r="H249" s="4" vm="798">
        <v>1.0595000000000001</v>
      </c>
      <c r="I249" s="5">
        <f ca="1">(EURUSD[[#This Row],[Price]]-OFFSET(EURUSD[[#This Row],[Price]],-1,0))/OFFSET(EURUSD[[#This Row],[Price]],-1,0)</f>
        <v>-3.7739409378239073E-4</v>
      </c>
    </row>
    <row r="250" spans="4:9" x14ac:dyDescent="0.35">
      <c r="D250" vm="596">
        <f ca="1"/>
        <v>45705</v>
      </c>
      <c r="E250" vm="853">
        <f ca="1"/>
        <v>1.0482</v>
      </c>
      <c r="G250" s="1" vm="84">
        <v>45616</v>
      </c>
      <c r="H250" s="4" vm="799">
        <v>1.0543</v>
      </c>
      <c r="I250" s="5">
        <f ca="1">(EURUSD[[#This Row],[Price]]-OFFSET(EURUSD[[#This Row],[Price]],-1,0))/OFFSET(EURUSD[[#This Row],[Price]],-1,0)</f>
        <v>-4.9079754601227873E-3</v>
      </c>
    </row>
    <row r="251" spans="4:9" x14ac:dyDescent="0.35">
      <c r="D251" vm="598">
        <f ca="1"/>
        <v>45706</v>
      </c>
      <c r="E251" vm="854">
        <f ca="1"/>
        <v>1.0445</v>
      </c>
      <c r="G251" s="1" vm="85">
        <v>45617</v>
      </c>
      <c r="H251" s="4" vm="800">
        <v>1.0472999999999999</v>
      </c>
      <c r="I251" s="5">
        <f ca="1">(EURUSD[[#This Row],[Price]]-OFFSET(EURUSD[[#This Row],[Price]],-1,0))/OFFSET(EURUSD[[#This Row],[Price]],-1,0)</f>
        <v>-6.6394764298587849E-3</v>
      </c>
    </row>
    <row r="252" spans="4:9" x14ac:dyDescent="0.35">
      <c r="D252" vm="600">
        <f ca="1"/>
        <v>45707</v>
      </c>
      <c r="E252" vm="855">
        <f ca="1"/>
        <v>1.0421</v>
      </c>
      <c r="G252" s="1" vm="86">
        <v>45618</v>
      </c>
      <c r="H252" s="4" vm="801">
        <v>1.0417000000000001</v>
      </c>
      <c r="I252" s="5">
        <f ca="1">(EURUSD[[#This Row],[Price]]-OFFSET(EURUSD[[#This Row],[Price]],-1,0))/OFFSET(EURUSD[[#This Row],[Price]],-1,0)</f>
        <v>-5.3470829752695773E-3</v>
      </c>
    </row>
    <row r="253" spans="4:9" x14ac:dyDescent="0.35">
      <c r="D253" vm="602">
        <f ca="1"/>
        <v>45708</v>
      </c>
      <c r="E253" vm="856">
        <f ca="1"/>
        <v>1.05</v>
      </c>
      <c r="G253" s="1" vm="87">
        <v>45621</v>
      </c>
      <c r="H253" s="4" vm="802">
        <v>1.0494000000000001</v>
      </c>
      <c r="I253" s="5">
        <f ca="1">(EURUSD[[#This Row],[Price]]-OFFSET(EURUSD[[#This Row],[Price]],-1,0))/OFFSET(EURUSD[[#This Row],[Price]],-1,0)</f>
        <v>7.3917634635692038E-3</v>
      </c>
    </row>
    <row r="254" spans="4:9" x14ac:dyDescent="0.35">
      <c r="D254" vm="604">
        <f ca="1"/>
        <v>45709</v>
      </c>
      <c r="E254" vm="857">
        <f ca="1"/>
        <v>1.0458000000000001</v>
      </c>
      <c r="G254" s="1" vm="88">
        <v>45622</v>
      </c>
      <c r="H254" s="4" vm="803">
        <v>1.0486</v>
      </c>
      <c r="I254" s="5">
        <f ca="1">(EURUSD[[#This Row],[Price]]-OFFSET(EURUSD[[#This Row],[Price]],-1,0))/OFFSET(EURUSD[[#This Row],[Price]],-1,0)</f>
        <v>-7.6234038498202198E-4</v>
      </c>
    </row>
    <row r="255" spans="4:9" x14ac:dyDescent="0.35">
      <c r="D255" vm="605">
        <f ca="1"/>
        <v>45712</v>
      </c>
      <c r="E255" vm="858">
        <f ca="1"/>
        <v>1.0466</v>
      </c>
      <c r="G255" s="1" vm="89">
        <v>45623</v>
      </c>
      <c r="H255" s="4" vm="804">
        <v>1.0564</v>
      </c>
      <c r="I255" s="5">
        <f ca="1">(EURUSD[[#This Row],[Price]]-OFFSET(EURUSD[[#This Row],[Price]],-1,0))/OFFSET(EURUSD[[#This Row],[Price]],-1,0)</f>
        <v>7.4384894144573993E-3</v>
      </c>
    </row>
    <row r="256" spans="4:9" x14ac:dyDescent="0.35">
      <c r="G256" s="1" vm="90">
        <v>45624</v>
      </c>
      <c r="H256" s="4" vm="805">
        <v>1.0552999999999999</v>
      </c>
      <c r="I256" s="5">
        <f ca="1">(EURUSD[[#This Row],[Price]]-OFFSET(EURUSD[[#This Row],[Price]],-1,0))/OFFSET(EURUSD[[#This Row],[Price]],-1,0)</f>
        <v>-1.041272245361701E-3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E6AD-362C-4CE2-9BD1-2BE13EE48F87}">
  <sheetPr codeName="Sheet58"/>
  <dimension ref="A1:I256"/>
  <sheetViews>
    <sheetView workbookViewId="0">
      <selection activeCell="B16" sqref="B16"/>
    </sheetView>
  </sheetViews>
  <sheetFormatPr defaultRowHeight="14.5" x14ac:dyDescent="0.35"/>
  <cols>
    <col min="2" max="2" width="10.453125" bestFit="1" customWidth="1"/>
    <col min="7" max="7" width="10.26953125" customWidth="1"/>
  </cols>
  <sheetData>
    <row r="1" spans="1:9" x14ac:dyDescent="0.35">
      <c r="A1" t="s">
        <v>0</v>
      </c>
      <c r="B1" t="s">
        <v>30</v>
      </c>
      <c r="D1" t="str" cm="1">
        <f t="array" aca="1" ref="D1:E255" ca="1">_xlfn.STOCKHISTORY(B1,B2,B3)</f>
        <v>Date</v>
      </c>
      <c r="E1" t="str">
        <f ca="1"/>
        <v>Close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f ca="1">WORKDAY(B3,-255)</f>
        <v>45357</v>
      </c>
      <c r="D2" vm="151">
        <f ca="1"/>
        <v>45357</v>
      </c>
      <c r="E2" vm="859">
        <f ca="1"/>
        <v>111.5617</v>
      </c>
      <c r="G2" s="1" vm="254">
        <v>45268</v>
      </c>
      <c r="H2" s="3" vm="860">
        <v>107.95529999999999</v>
      </c>
      <c r="I2" s="5" t="e">
        <f ca="1">(SGDJPY[[#This Row],[Price]]-OFFSET(SGDJPY[[#This Row],[Price]],-1,0))/OFFSET(SGDJPY[[#This Row],[Price]],-1,0)</f>
        <v>#VALUE!</v>
      </c>
    </row>
    <row r="3" spans="1:9" x14ac:dyDescent="0.35">
      <c r="A3" t="s">
        <v>2</v>
      </c>
      <c r="B3" s="2">
        <f ca="1">TODAY()</f>
        <v>45714</v>
      </c>
      <c r="D3" vm="152">
        <f ca="1"/>
        <v>45358</v>
      </c>
      <c r="E3" vm="861">
        <f ca="1"/>
        <v>111.0253</v>
      </c>
      <c r="G3" s="1" vm="257">
        <v>45271</v>
      </c>
      <c r="H3" s="3" vm="862">
        <v>108.7513</v>
      </c>
      <c r="I3" s="5">
        <f ca="1">(SGDJPY[[#This Row],[Price]]-OFFSET(SGDJPY[[#This Row],[Price]],-1,0))/OFFSET(SGDJPY[[#This Row],[Price]],-1,0)</f>
        <v>7.3734221478705215E-3</v>
      </c>
    </row>
    <row r="4" spans="1:9" x14ac:dyDescent="0.35">
      <c r="D4" vm="153">
        <f ca="1"/>
        <v>45359</v>
      </c>
      <c r="E4" vm="863">
        <f ca="1"/>
        <v>110.45440000000001</v>
      </c>
      <c r="G4" s="1" vm="260">
        <v>45272</v>
      </c>
      <c r="H4" s="3" vm="864">
        <v>108.4085</v>
      </c>
      <c r="I4" s="5">
        <f ca="1">(SGDJPY[[#This Row],[Price]]-OFFSET(SGDJPY[[#This Row],[Price]],-1,0))/OFFSET(SGDJPY[[#This Row],[Price]],-1,0)</f>
        <v>-3.152146227217485E-3</v>
      </c>
    </row>
    <row r="5" spans="1:9" x14ac:dyDescent="0.35">
      <c r="A5" t="s">
        <v>9</v>
      </c>
      <c r="D5" vm="154">
        <f ca="1"/>
        <v>45362</v>
      </c>
      <c r="E5" vm="865">
        <f ca="1"/>
        <v>110.44799999999999</v>
      </c>
      <c r="G5" s="1" vm="91">
        <v>45273</v>
      </c>
      <c r="H5" s="3" vm="866">
        <v>107.1707</v>
      </c>
      <c r="I5" s="5">
        <f ca="1">(SGDJPY[[#This Row],[Price]]-OFFSET(SGDJPY[[#This Row],[Price]],-1,0))/OFFSET(SGDJPY[[#This Row],[Price]],-1,0)</f>
        <v>-1.1417923871283221E-2</v>
      </c>
    </row>
    <row r="6" spans="1:9" x14ac:dyDescent="0.35">
      <c r="A6" t="s">
        <v>10</v>
      </c>
      <c r="B6" s="6">
        <f ca="1">AVERAGE(OFFSET(SGDJPY[[#Headers],[Change %]],COUNTA(SGDJPY[Change %])-252+1,0,252,1))</f>
        <v>1.7134751763993891E-4</v>
      </c>
      <c r="D6" vm="155">
        <f ca="1"/>
        <v>45363</v>
      </c>
      <c r="E6" vm="867">
        <f ca="1"/>
        <v>110.7976</v>
      </c>
      <c r="G6" s="1" vm="92">
        <v>45274</v>
      </c>
      <c r="H6" s="3" vm="868">
        <v>106.8379</v>
      </c>
      <c r="I6" s="5">
        <f ca="1">(SGDJPY[[#This Row],[Price]]-OFFSET(SGDJPY[[#This Row],[Price]],-1,0))/OFFSET(SGDJPY[[#This Row],[Price]],-1,0)</f>
        <v>-3.1053263625225157E-3</v>
      </c>
    </row>
    <row r="7" spans="1:9" x14ac:dyDescent="0.35">
      <c r="A7" t="s">
        <v>11</v>
      </c>
      <c r="B7" s="6">
        <f ca="1">_xlfn.STDEV.S(OFFSET(SGDJPY[[#Headers],[Change %]],COUNTA(SGDJPY[Change %])-252+1,0,252,1))</f>
        <v>4.9380826703335932E-3</v>
      </c>
      <c r="D7" vm="156">
        <f ca="1"/>
        <v>45364</v>
      </c>
      <c r="E7" vm="869">
        <f ca="1"/>
        <v>110.866</v>
      </c>
      <c r="G7" s="1" vm="93">
        <v>45275</v>
      </c>
      <c r="H7" s="3" vm="870">
        <v>106.6872</v>
      </c>
      <c r="I7" s="5">
        <f ca="1">(SGDJPY[[#This Row],[Price]]-OFFSET(SGDJPY[[#This Row],[Price]],-1,0))/OFFSET(SGDJPY[[#This Row],[Price]],-1,0)</f>
        <v>-1.4105481294559375E-3</v>
      </c>
    </row>
    <row r="8" spans="1:9" x14ac:dyDescent="0.35">
      <c r="A8" t="s">
        <v>12</v>
      </c>
      <c r="B8" s="6">
        <f ca="1">_xlfn.VAR.S(OFFSET(SGDJPY[[#Headers],[Change %]],COUNTA(SGDJPY[Change %])-252+1,0,252,1))</f>
        <v>2.4384660459048948E-5</v>
      </c>
      <c r="D8" vm="157">
        <f ca="1"/>
        <v>45365</v>
      </c>
      <c r="E8" vm="871">
        <f ca="1"/>
        <v>111.01049999999999</v>
      </c>
      <c r="G8" s="1" vm="94">
        <v>45278</v>
      </c>
      <c r="H8" s="3" vm="872">
        <v>107.1139</v>
      </c>
      <c r="I8" s="5">
        <f ca="1">(SGDJPY[[#This Row],[Price]]-OFFSET(SGDJPY[[#This Row],[Price]],-1,0))/OFFSET(SGDJPY[[#This Row],[Price]],-1,0)</f>
        <v>3.9995425880517696E-3</v>
      </c>
    </row>
    <row r="9" spans="1:9" x14ac:dyDescent="0.35">
      <c r="D9" vm="158">
        <f ca="1"/>
        <v>45366</v>
      </c>
      <c r="E9" vm="873">
        <f ca="1"/>
        <v>111.37520000000001</v>
      </c>
      <c r="G9" s="1" vm="95">
        <v>45279</v>
      </c>
      <c r="H9" s="3" vm="874">
        <v>108.2411</v>
      </c>
      <c r="I9" s="5">
        <f ca="1">(SGDJPY[[#This Row],[Price]]-OFFSET(SGDJPY[[#This Row],[Price]],-1,0))/OFFSET(SGDJPY[[#This Row],[Price]],-1,0)</f>
        <v>1.0523377451479238E-2</v>
      </c>
    </row>
    <row r="10" spans="1:9" x14ac:dyDescent="0.35">
      <c r="A10" t="s">
        <v>13</v>
      </c>
      <c r="D10" vm="159">
        <f ca="1"/>
        <v>45369</v>
      </c>
      <c r="E10" vm="875">
        <f ca="1"/>
        <v>111.36409999999999</v>
      </c>
      <c r="G10" s="1" vm="96">
        <v>45280</v>
      </c>
      <c r="H10" s="3" vm="876">
        <v>107.7131</v>
      </c>
      <c r="I10" s="5">
        <f ca="1">(SGDJPY[[#This Row],[Price]]-OFFSET(SGDJPY[[#This Row],[Price]],-1,0))/OFFSET(SGDJPY[[#This Row],[Price]],-1,0)</f>
        <v>-4.8779992073251822E-3</v>
      </c>
    </row>
    <row r="11" spans="1:9" x14ac:dyDescent="0.35">
      <c r="A11" t="s">
        <v>10</v>
      </c>
      <c r="B11" s="6">
        <f ca="1">AVERAGE(OFFSET(SGDJPY[[#Headers],[Change %]],COUNTA(SGDJPY[Change %])-90+1,0,90,1))</f>
        <v>-1.5175542241235615E-4</v>
      </c>
      <c r="D11" vm="160">
        <f ca="1"/>
        <v>45370</v>
      </c>
      <c r="E11" vm="877">
        <f ca="1"/>
        <v>112.3817</v>
      </c>
      <c r="G11" s="1" vm="97">
        <v>45281</v>
      </c>
      <c r="H11" s="3" vm="878">
        <v>107.1159</v>
      </c>
      <c r="I11" s="5">
        <f ca="1">(SGDJPY[[#This Row],[Price]]-OFFSET(SGDJPY[[#This Row],[Price]],-1,0))/OFFSET(SGDJPY[[#This Row],[Price]],-1,0)</f>
        <v>-5.544358114286942E-3</v>
      </c>
    </row>
    <row r="12" spans="1:9" x14ac:dyDescent="0.35">
      <c r="A12" t="s">
        <v>11</v>
      </c>
      <c r="B12" s="6">
        <f ca="1">_xlfn.STDEV.S(OFFSET(SGDJPY[[#Headers],[Change %]],COUNTA(SGDJPY[Change %])-90+1,0,90,1))</f>
        <v>6.0250343254258923E-3</v>
      </c>
      <c r="D12" vm="161">
        <f ca="1"/>
        <v>45371</v>
      </c>
      <c r="E12" vm="879">
        <f ca="1"/>
        <v>112.8909</v>
      </c>
      <c r="G12" s="1" vm="98">
        <v>45282</v>
      </c>
      <c r="H12" s="3" vm="880">
        <v>107.5523</v>
      </c>
      <c r="I12" s="5">
        <f ca="1">(SGDJPY[[#This Row],[Price]]-OFFSET(SGDJPY[[#This Row],[Price]],-1,0))/OFFSET(SGDJPY[[#This Row],[Price]],-1,0)</f>
        <v>4.0740917081404917E-3</v>
      </c>
    </row>
    <row r="13" spans="1:9" x14ac:dyDescent="0.35">
      <c r="A13" t="s">
        <v>12</v>
      </c>
      <c r="B13" s="6">
        <f ca="1">_xlfn.VAR.S(OFFSET(SGDJPY[[#Headers],[Change %]],COUNTA(SGDJPY[Change %])-90+1,0,90,1))</f>
        <v>3.6301038622560232E-5</v>
      </c>
      <c r="D13" vm="162">
        <f ca="1"/>
        <v>45372</v>
      </c>
      <c r="E13" vm="881">
        <f ca="1"/>
        <v>112.8051</v>
      </c>
      <c r="G13" s="1" vm="99">
        <v>45285</v>
      </c>
      <c r="H13" s="3" vm="882">
        <v>107.4264</v>
      </c>
      <c r="I13" s="5">
        <f ca="1">(SGDJPY[[#This Row],[Price]]-OFFSET(SGDJPY[[#This Row],[Price]],-1,0))/OFFSET(SGDJPY[[#This Row],[Price]],-1,0)</f>
        <v>-1.1705932834537378E-3</v>
      </c>
    </row>
    <row r="14" spans="1:9" x14ac:dyDescent="0.35">
      <c r="D14" vm="163">
        <f ca="1"/>
        <v>45373</v>
      </c>
      <c r="E14" vm="883">
        <f ca="1"/>
        <v>112.2628</v>
      </c>
      <c r="G14" s="1" vm="100">
        <v>45286</v>
      </c>
      <c r="H14" s="3" vm="884">
        <v>107.554</v>
      </c>
      <c r="I14" s="5">
        <f ca="1">(SGDJPY[[#This Row],[Price]]-OFFSET(SGDJPY[[#This Row],[Price]],-1,0))/OFFSET(SGDJPY[[#This Row],[Price]],-1,0)</f>
        <v>1.1877899659674068E-3</v>
      </c>
    </row>
    <row r="15" spans="1:9" x14ac:dyDescent="0.35">
      <c r="D15" vm="164">
        <f ca="1"/>
        <v>45376</v>
      </c>
      <c r="E15" vm="885">
        <f ca="1"/>
        <v>112.4554</v>
      </c>
      <c r="G15" s="1" vm="101">
        <v>45287</v>
      </c>
      <c r="H15" s="3" vm="886">
        <v>107.4388</v>
      </c>
      <c r="I15" s="5">
        <f ca="1">(SGDJPY[[#This Row],[Price]]-OFFSET(SGDJPY[[#This Row],[Price]],-1,0))/OFFSET(SGDJPY[[#This Row],[Price]],-1,0)</f>
        <v>-1.071089871134514E-3</v>
      </c>
    </row>
    <row r="16" spans="1:9" x14ac:dyDescent="0.35">
      <c r="D16" vm="165">
        <f ca="1"/>
        <v>45377</v>
      </c>
      <c r="E16" vm="887">
        <f ca="1"/>
        <v>112.60120000000001</v>
      </c>
      <c r="G16" s="1" vm="102">
        <v>45288</v>
      </c>
      <c r="H16" s="3" vm="888">
        <v>107.0731</v>
      </c>
      <c r="I16" s="5">
        <f ca="1">(SGDJPY[[#This Row],[Price]]-OFFSET(SGDJPY[[#This Row],[Price]],-1,0))/OFFSET(SGDJPY[[#This Row],[Price]],-1,0)</f>
        <v>-3.4037982553789124E-3</v>
      </c>
    </row>
    <row r="17" spans="4:9" x14ac:dyDescent="0.35">
      <c r="D17" vm="166">
        <f ca="1"/>
        <v>45378</v>
      </c>
      <c r="E17" vm="889">
        <f ca="1"/>
        <v>112.28019999999999</v>
      </c>
      <c r="G17" s="1" vm="103">
        <v>45289</v>
      </c>
      <c r="H17" s="3" vm="890">
        <v>106.86360000000001</v>
      </c>
      <c r="I17" s="5">
        <f ca="1">(SGDJPY[[#This Row],[Price]]-OFFSET(SGDJPY[[#This Row],[Price]],-1,0))/OFFSET(SGDJPY[[#This Row],[Price]],-1,0)</f>
        <v>-1.9566072150707446E-3</v>
      </c>
    </row>
    <row r="18" spans="4:9" x14ac:dyDescent="0.35">
      <c r="D18" vm="167">
        <f ca="1"/>
        <v>45379</v>
      </c>
      <c r="E18" vm="891">
        <f ca="1"/>
        <v>112.0844</v>
      </c>
      <c r="G18" s="1" vm="104">
        <v>45292</v>
      </c>
      <c r="H18" s="3" vm="892">
        <v>106.69540000000001</v>
      </c>
      <c r="I18" s="5">
        <f ca="1">(SGDJPY[[#This Row],[Price]]-OFFSET(SGDJPY[[#This Row],[Price]],-1,0))/OFFSET(SGDJPY[[#This Row],[Price]],-1,0)</f>
        <v>-1.5739690596236584E-3</v>
      </c>
    </row>
    <row r="19" spans="4:9" x14ac:dyDescent="0.35">
      <c r="D19" vm="168">
        <f ca="1"/>
        <v>45380</v>
      </c>
      <c r="E19" vm="893">
        <f ca="1"/>
        <v>112.136</v>
      </c>
      <c r="G19" s="1" vm="105">
        <v>45293</v>
      </c>
      <c r="H19" s="3" vm="894">
        <v>107.02549999999999</v>
      </c>
      <c r="I19" s="5">
        <f ca="1">(SGDJPY[[#This Row],[Price]]-OFFSET(SGDJPY[[#This Row],[Price]],-1,0))/OFFSET(SGDJPY[[#This Row],[Price]],-1,0)</f>
        <v>3.0938540930535653E-3</v>
      </c>
    </row>
    <row r="20" spans="4:9" x14ac:dyDescent="0.35">
      <c r="D20" vm="169">
        <f ca="1"/>
        <v>45383</v>
      </c>
      <c r="E20" vm="895">
        <f ca="1"/>
        <v>112.1026</v>
      </c>
      <c r="G20" s="1" vm="106">
        <v>45294</v>
      </c>
      <c r="H20" s="3" vm="896">
        <v>107.82599999999999</v>
      </c>
      <c r="I20" s="5">
        <f ca="1">(SGDJPY[[#This Row],[Price]]-OFFSET(SGDJPY[[#This Row],[Price]],-1,0))/OFFSET(SGDJPY[[#This Row],[Price]],-1,0)</f>
        <v>7.4795259073772097E-3</v>
      </c>
    </row>
    <row r="21" spans="4:9" x14ac:dyDescent="0.35">
      <c r="D21" vm="170">
        <f ca="1"/>
        <v>45384</v>
      </c>
      <c r="E21" vm="897">
        <f ca="1"/>
        <v>112.1347</v>
      </c>
      <c r="G21" s="1" vm="107">
        <v>45295</v>
      </c>
      <c r="H21" s="3" vm="898">
        <v>108.76139999999999</v>
      </c>
      <c r="I21" s="5">
        <f ca="1">(SGDJPY[[#This Row],[Price]]-OFFSET(SGDJPY[[#This Row],[Price]],-1,0))/OFFSET(SGDJPY[[#This Row],[Price]],-1,0)</f>
        <v>8.6750876411997233E-3</v>
      </c>
    </row>
    <row r="22" spans="4:9" x14ac:dyDescent="0.35">
      <c r="D22" vm="171">
        <f ca="1"/>
        <v>45385</v>
      </c>
      <c r="E22" vm="899">
        <f ca="1"/>
        <v>112.49720000000001</v>
      </c>
      <c r="G22" s="1" vm="108">
        <v>45296</v>
      </c>
      <c r="H22" s="3" vm="900">
        <v>108.7362</v>
      </c>
      <c r="I22" s="5">
        <f ca="1">(SGDJPY[[#This Row],[Price]]-OFFSET(SGDJPY[[#This Row],[Price]],-1,0))/OFFSET(SGDJPY[[#This Row],[Price]],-1,0)</f>
        <v>-2.3169984939508056E-4</v>
      </c>
    </row>
    <row r="23" spans="4:9" x14ac:dyDescent="0.35">
      <c r="D23" vm="172">
        <f ca="1"/>
        <v>45386</v>
      </c>
      <c r="E23" vm="901">
        <f ca="1"/>
        <v>112.196</v>
      </c>
      <c r="G23" s="1" vm="109">
        <v>45299</v>
      </c>
      <c r="H23" s="3" vm="902">
        <v>108.5598</v>
      </c>
      <c r="I23" s="5">
        <f ca="1">(SGDJPY[[#This Row],[Price]]-OFFSET(SGDJPY[[#This Row],[Price]],-1,0))/OFFSET(SGDJPY[[#This Row],[Price]],-1,0)</f>
        <v>-1.6222748265986948E-3</v>
      </c>
    </row>
    <row r="24" spans="4:9" x14ac:dyDescent="0.35">
      <c r="D24" vm="173">
        <f ca="1"/>
        <v>45387</v>
      </c>
      <c r="E24" vm="903">
        <f ca="1"/>
        <v>112.39530000000001</v>
      </c>
      <c r="G24" s="1" vm="110">
        <v>45300</v>
      </c>
      <c r="H24" s="3" vm="904">
        <v>108.5261</v>
      </c>
      <c r="I24" s="5">
        <f ca="1">(SGDJPY[[#This Row],[Price]]-OFFSET(SGDJPY[[#This Row],[Price]],-1,0))/OFFSET(SGDJPY[[#This Row],[Price]],-1,0)</f>
        <v>-3.1042798531312758E-4</v>
      </c>
    </row>
    <row r="25" spans="4:9" x14ac:dyDescent="0.35">
      <c r="D25" vm="174">
        <f ca="1"/>
        <v>45390</v>
      </c>
      <c r="E25" vm="905">
        <f ca="1"/>
        <v>112.63630000000001</v>
      </c>
      <c r="G25" s="1" vm="111">
        <v>45301</v>
      </c>
      <c r="H25" s="3" vm="906">
        <v>109.44589999999999</v>
      </c>
      <c r="I25" s="5">
        <f ca="1">(SGDJPY[[#This Row],[Price]]-OFFSET(SGDJPY[[#This Row],[Price]],-1,0))/OFFSET(SGDJPY[[#This Row],[Price]],-1,0)</f>
        <v>8.4753805766538647E-3</v>
      </c>
    </row>
    <row r="26" spans="4:9" x14ac:dyDescent="0.35">
      <c r="D26" vm="175">
        <f ca="1"/>
        <v>45391</v>
      </c>
      <c r="E26" vm="907">
        <f ca="1"/>
        <v>112.82340000000001</v>
      </c>
      <c r="G26" s="1" vm="112">
        <v>45302</v>
      </c>
      <c r="H26" s="3" vm="908">
        <v>109.151</v>
      </c>
      <c r="I26" s="5">
        <f ca="1">(SGDJPY[[#This Row],[Price]]-OFFSET(SGDJPY[[#This Row],[Price]],-1,0))/OFFSET(SGDJPY[[#This Row],[Price]],-1,0)</f>
        <v>-2.6944819312555188E-3</v>
      </c>
    </row>
    <row r="27" spans="4:9" x14ac:dyDescent="0.35">
      <c r="D27" vm="176">
        <f ca="1"/>
        <v>45392</v>
      </c>
      <c r="E27" vm="909">
        <f ca="1"/>
        <v>113.126</v>
      </c>
      <c r="G27" s="1" vm="113">
        <v>45303</v>
      </c>
      <c r="H27" s="3" vm="910">
        <v>108.7675</v>
      </c>
      <c r="I27" s="5">
        <f ca="1">(SGDJPY[[#This Row],[Price]]-OFFSET(SGDJPY[[#This Row],[Price]],-1,0))/OFFSET(SGDJPY[[#This Row],[Price]],-1,0)</f>
        <v>-3.513481324037324E-3</v>
      </c>
    </row>
    <row r="28" spans="4:9" x14ac:dyDescent="0.35">
      <c r="D28" vm="177">
        <f ca="1"/>
        <v>45393</v>
      </c>
      <c r="E28" vm="911">
        <f ca="1"/>
        <v>113.23139999999999</v>
      </c>
      <c r="G28" s="1" vm="114">
        <v>45306</v>
      </c>
      <c r="H28" s="3" vm="912">
        <v>109.25109999999999</v>
      </c>
      <c r="I28" s="5">
        <f ca="1">(SGDJPY[[#This Row],[Price]]-OFFSET(SGDJPY[[#This Row],[Price]],-1,0))/OFFSET(SGDJPY[[#This Row],[Price]],-1,0)</f>
        <v>4.4461810743098408E-3</v>
      </c>
    </row>
    <row r="29" spans="4:9" x14ac:dyDescent="0.35">
      <c r="D29" vm="178">
        <f ca="1"/>
        <v>45394</v>
      </c>
      <c r="E29" vm="913">
        <f ca="1"/>
        <v>112.5817</v>
      </c>
      <c r="G29" s="1" vm="115">
        <v>45307</v>
      </c>
      <c r="H29" s="3" vm="914">
        <v>109.60680000000001</v>
      </c>
      <c r="I29" s="5">
        <f ca="1">(SGDJPY[[#This Row],[Price]]-OFFSET(SGDJPY[[#This Row],[Price]],-1,0))/OFFSET(SGDJPY[[#This Row],[Price]],-1,0)</f>
        <v>3.2558024587396651E-3</v>
      </c>
    </row>
    <row r="30" spans="4:9" x14ac:dyDescent="0.35">
      <c r="D30" vm="179">
        <f ca="1"/>
        <v>45397</v>
      </c>
      <c r="E30" vm="915">
        <f ca="1"/>
        <v>113.16849999999999</v>
      </c>
      <c r="G30" s="1" vm="116">
        <v>45308</v>
      </c>
      <c r="H30" s="3" vm="916">
        <v>110.1651</v>
      </c>
      <c r="I30" s="5">
        <f ca="1">(SGDJPY[[#This Row],[Price]]-OFFSET(SGDJPY[[#This Row],[Price]],-1,0))/OFFSET(SGDJPY[[#This Row],[Price]],-1,0)</f>
        <v>5.0936620720611172E-3</v>
      </c>
    </row>
    <row r="31" spans="4:9" x14ac:dyDescent="0.35">
      <c r="D31" vm="180">
        <f ca="1"/>
        <v>45398</v>
      </c>
      <c r="E31" vm="917">
        <f ca="1"/>
        <v>113.3241</v>
      </c>
      <c r="G31" s="1" vm="117">
        <v>45309</v>
      </c>
      <c r="H31" s="3" vm="918">
        <v>110.20610000000001</v>
      </c>
      <c r="I31" s="5">
        <f ca="1">(SGDJPY[[#This Row],[Price]]-OFFSET(SGDJPY[[#This Row],[Price]],-1,0))/OFFSET(SGDJPY[[#This Row],[Price]],-1,0)</f>
        <v>3.7216868137015288E-4</v>
      </c>
    </row>
    <row r="32" spans="4:9" x14ac:dyDescent="0.35">
      <c r="D32" vm="181">
        <f ca="1"/>
        <v>45399</v>
      </c>
      <c r="E32" vm="919">
        <f ca="1"/>
        <v>113.423</v>
      </c>
      <c r="G32" s="1" vm="118">
        <v>45310</v>
      </c>
      <c r="H32" s="3" vm="920">
        <v>110.4863</v>
      </c>
      <c r="I32" s="5">
        <f ca="1">(SGDJPY[[#This Row],[Price]]-OFFSET(SGDJPY[[#This Row],[Price]],-1,0))/OFFSET(SGDJPY[[#This Row],[Price]],-1,0)</f>
        <v>2.5425089899741805E-3</v>
      </c>
    </row>
    <row r="33" spans="4:9" x14ac:dyDescent="0.35">
      <c r="D33" vm="182">
        <f ca="1"/>
        <v>45400</v>
      </c>
      <c r="E33" vm="921">
        <f ca="1"/>
        <v>113.5149</v>
      </c>
      <c r="G33" s="1" vm="119">
        <v>45313</v>
      </c>
      <c r="H33" s="3" vm="922">
        <v>110.35769999999999</v>
      </c>
      <c r="I33" s="5">
        <f ca="1">(SGDJPY[[#This Row],[Price]]-OFFSET(SGDJPY[[#This Row],[Price]],-1,0))/OFFSET(SGDJPY[[#This Row],[Price]],-1,0)</f>
        <v>-1.1639452131169731E-3</v>
      </c>
    </row>
    <row r="34" spans="4:9" x14ac:dyDescent="0.35">
      <c r="D34" vm="183">
        <f ca="1"/>
        <v>45401</v>
      </c>
      <c r="E34" vm="923">
        <f ca="1"/>
        <v>113.5399</v>
      </c>
      <c r="G34" s="1" vm="120">
        <v>45314</v>
      </c>
      <c r="H34" s="3" vm="924">
        <v>110.5926</v>
      </c>
      <c r="I34" s="5">
        <f ca="1">(SGDJPY[[#This Row],[Price]]-OFFSET(SGDJPY[[#This Row],[Price]],-1,0))/OFFSET(SGDJPY[[#This Row],[Price]],-1,0)</f>
        <v>2.1285329433289235E-3</v>
      </c>
    </row>
    <row r="35" spans="4:9" x14ac:dyDescent="0.35">
      <c r="D35" vm="184">
        <f ca="1"/>
        <v>45404</v>
      </c>
      <c r="E35" vm="925">
        <f ca="1"/>
        <v>113.67740000000001</v>
      </c>
      <c r="G35" s="1" vm="121">
        <v>45315</v>
      </c>
      <c r="H35" s="3" vm="926">
        <v>110.0672</v>
      </c>
      <c r="I35" s="5">
        <f ca="1">(SGDJPY[[#This Row],[Price]]-OFFSET(SGDJPY[[#This Row],[Price]],-1,0))/OFFSET(SGDJPY[[#This Row],[Price]],-1,0)</f>
        <v>-4.750769943016122E-3</v>
      </c>
    </row>
    <row r="36" spans="4:9" x14ac:dyDescent="0.35">
      <c r="D36" vm="185">
        <f ca="1"/>
        <v>45405</v>
      </c>
      <c r="E36" vm="927">
        <f ca="1"/>
        <v>113.7118</v>
      </c>
      <c r="G36" s="1" vm="122">
        <v>45316</v>
      </c>
      <c r="H36" s="3" vm="928">
        <v>110.1537</v>
      </c>
      <c r="I36" s="5">
        <f ca="1">(SGDJPY[[#This Row],[Price]]-OFFSET(SGDJPY[[#This Row],[Price]],-1,0))/OFFSET(SGDJPY[[#This Row],[Price]],-1,0)</f>
        <v>7.8588353296895816E-4</v>
      </c>
    </row>
    <row r="37" spans="4:9" x14ac:dyDescent="0.35">
      <c r="D37" vm="186">
        <f ca="1"/>
        <v>45406</v>
      </c>
      <c r="E37" vm="929">
        <f ca="1"/>
        <v>114.0277</v>
      </c>
      <c r="G37" s="1" vm="123">
        <v>45317</v>
      </c>
      <c r="H37" s="3" vm="930">
        <v>110.4353</v>
      </c>
      <c r="I37" s="5">
        <f ca="1">(SGDJPY[[#This Row],[Price]]-OFFSET(SGDJPY[[#This Row],[Price]],-1,0))/OFFSET(SGDJPY[[#This Row],[Price]],-1,0)</f>
        <v>2.5564279729141863E-3</v>
      </c>
    </row>
    <row r="38" spans="4:9" x14ac:dyDescent="0.35">
      <c r="D38" vm="187">
        <f ca="1"/>
        <v>45407</v>
      </c>
      <c r="E38" vm="931">
        <f ca="1"/>
        <v>114.5243</v>
      </c>
      <c r="G38" s="1" vm="124">
        <v>45320</v>
      </c>
      <c r="H38" s="3" vm="932">
        <v>110.0343</v>
      </c>
      <c r="I38" s="5">
        <f ca="1">(SGDJPY[[#This Row],[Price]]-OFFSET(SGDJPY[[#This Row],[Price]],-1,0))/OFFSET(SGDJPY[[#This Row],[Price]],-1,0)</f>
        <v>-3.6310853504268677E-3</v>
      </c>
    </row>
    <row r="39" spans="4:9" x14ac:dyDescent="0.35">
      <c r="D39" vm="188">
        <f ca="1"/>
        <v>45408</v>
      </c>
      <c r="E39" vm="933">
        <f ca="1"/>
        <v>116.1641</v>
      </c>
      <c r="G39" s="1" vm="125">
        <v>45321</v>
      </c>
      <c r="H39" s="3" vm="934">
        <v>110.1986</v>
      </c>
      <c r="I39" s="5">
        <f ca="1">(SGDJPY[[#This Row],[Price]]-OFFSET(SGDJPY[[#This Row],[Price]],-1,0))/OFFSET(SGDJPY[[#This Row],[Price]],-1,0)</f>
        <v>1.4931707658429891E-3</v>
      </c>
    </row>
    <row r="40" spans="4:9" x14ac:dyDescent="0.35">
      <c r="D40" vm="189">
        <f ca="1"/>
        <v>45411</v>
      </c>
      <c r="E40" vm="935">
        <f ca="1"/>
        <v>114.9823</v>
      </c>
      <c r="G40" s="1" vm="126">
        <v>45322</v>
      </c>
      <c r="H40" s="3" vm="936">
        <v>109.5792</v>
      </c>
      <c r="I40" s="5">
        <f ca="1">(SGDJPY[[#This Row],[Price]]-OFFSET(SGDJPY[[#This Row],[Price]],-1,0))/OFFSET(SGDJPY[[#This Row],[Price]],-1,0)</f>
        <v>-5.6207610623002363E-3</v>
      </c>
    </row>
    <row r="41" spans="4:9" x14ac:dyDescent="0.35">
      <c r="D41" vm="190">
        <f ca="1"/>
        <v>45412</v>
      </c>
      <c r="E41" vm="937">
        <f ca="1"/>
        <v>115.5621</v>
      </c>
      <c r="G41" s="1" vm="127">
        <v>45323</v>
      </c>
      <c r="H41" s="3" vm="938">
        <v>109.5309</v>
      </c>
      <c r="I41" s="5">
        <f ca="1">(SGDJPY[[#This Row],[Price]]-OFFSET(SGDJPY[[#This Row],[Price]],-1,0))/OFFSET(SGDJPY[[#This Row],[Price]],-1,0)</f>
        <v>-4.4077708178192184E-4</v>
      </c>
    </row>
    <row r="42" spans="4:9" x14ac:dyDescent="0.35">
      <c r="D42" vm="191">
        <f ca="1"/>
        <v>45413</v>
      </c>
      <c r="E42" vm="939">
        <f ca="1"/>
        <v>113.45569999999999</v>
      </c>
      <c r="G42" s="1" vm="128">
        <v>45324</v>
      </c>
      <c r="H42" s="3" vm="940">
        <v>110.5177</v>
      </c>
      <c r="I42" s="5">
        <f ca="1">(SGDJPY[[#This Row],[Price]]-OFFSET(SGDJPY[[#This Row],[Price]],-1,0))/OFFSET(SGDJPY[[#This Row],[Price]],-1,0)</f>
        <v>9.0093297873020516E-3</v>
      </c>
    </row>
    <row r="43" spans="4:9" x14ac:dyDescent="0.35">
      <c r="D43" vm="192">
        <f ca="1"/>
        <v>45414</v>
      </c>
      <c r="E43" vm="941">
        <f ca="1"/>
        <v>113.3633</v>
      </c>
      <c r="G43" s="1" vm="129">
        <v>45327</v>
      </c>
      <c r="H43" s="3" vm="942">
        <v>110.3548</v>
      </c>
      <c r="I43" s="5">
        <f ca="1">(SGDJPY[[#This Row],[Price]]-OFFSET(SGDJPY[[#This Row],[Price]],-1,0))/OFFSET(SGDJPY[[#This Row],[Price]],-1,0)</f>
        <v>-1.4739720424873806E-3</v>
      </c>
    </row>
    <row r="44" spans="4:9" x14ac:dyDescent="0.35">
      <c r="D44" vm="193">
        <f ca="1"/>
        <v>45415</v>
      </c>
      <c r="E44" vm="943">
        <f ca="1"/>
        <v>113.3437</v>
      </c>
      <c r="G44" s="1" vm="130">
        <v>45328</v>
      </c>
      <c r="H44" s="3" vm="944">
        <v>110.06619999999999</v>
      </c>
      <c r="I44" s="5">
        <f ca="1">(SGDJPY[[#This Row],[Price]]-OFFSET(SGDJPY[[#This Row],[Price]],-1,0))/OFFSET(SGDJPY[[#This Row],[Price]],-1,0)</f>
        <v>-2.6152011511959825E-3</v>
      </c>
    </row>
    <row r="45" spans="4:9" x14ac:dyDescent="0.35">
      <c r="D45" vm="194">
        <f ca="1"/>
        <v>45418</v>
      </c>
      <c r="E45" vm="945">
        <f ca="1"/>
        <v>113.86709999999999</v>
      </c>
      <c r="G45" s="1" vm="131">
        <v>45329</v>
      </c>
      <c r="H45" s="3" vm="946">
        <v>110.28579999999999</v>
      </c>
      <c r="I45" s="5">
        <f ca="1">(SGDJPY[[#This Row],[Price]]-OFFSET(SGDJPY[[#This Row],[Price]],-1,0))/OFFSET(SGDJPY[[#This Row],[Price]],-1,0)</f>
        <v>1.9951629110480764E-3</v>
      </c>
    </row>
    <row r="46" spans="4:9" x14ac:dyDescent="0.35">
      <c r="D46" vm="195">
        <f ca="1"/>
        <v>45419</v>
      </c>
      <c r="E46" vm="947">
        <f ca="1"/>
        <v>114.2045</v>
      </c>
      <c r="G46" s="1" vm="132">
        <v>45330</v>
      </c>
      <c r="H46" s="3" vm="948">
        <v>110.8216</v>
      </c>
      <c r="I46" s="5">
        <f ca="1">(SGDJPY[[#This Row],[Price]]-OFFSET(SGDJPY[[#This Row],[Price]],-1,0))/OFFSET(SGDJPY[[#This Row],[Price]],-1,0)</f>
        <v>4.8582863795702527E-3</v>
      </c>
    </row>
    <row r="47" spans="4:9" x14ac:dyDescent="0.35">
      <c r="D47" vm="196">
        <f ca="1"/>
        <v>45420</v>
      </c>
      <c r="E47" vm="949">
        <f ca="1"/>
        <v>114.6692</v>
      </c>
      <c r="G47" s="1" vm="133">
        <v>45331</v>
      </c>
      <c r="H47" s="3" vm="950">
        <v>110.8883</v>
      </c>
      <c r="I47" s="5">
        <f ca="1">(SGDJPY[[#This Row],[Price]]-OFFSET(SGDJPY[[#This Row],[Price]],-1,0))/OFFSET(SGDJPY[[#This Row],[Price]],-1,0)</f>
        <v>6.0186822785447344E-4</v>
      </c>
    </row>
    <row r="48" spans="4:9" x14ac:dyDescent="0.35">
      <c r="D48" vm="197">
        <f ca="1"/>
        <v>45421</v>
      </c>
      <c r="E48" vm="951">
        <f ca="1"/>
        <v>114.9087</v>
      </c>
      <c r="G48" s="1" vm="134">
        <v>45334</v>
      </c>
      <c r="H48" s="3" vm="952">
        <v>111.0335</v>
      </c>
      <c r="I48" s="5">
        <f ca="1">(SGDJPY[[#This Row],[Price]]-OFFSET(SGDJPY[[#This Row],[Price]],-1,0))/OFFSET(SGDJPY[[#This Row],[Price]],-1,0)</f>
        <v>1.3094257915397987E-3</v>
      </c>
    </row>
    <row r="49" spans="4:9" x14ac:dyDescent="0.35">
      <c r="D49" vm="198">
        <f ca="1"/>
        <v>45422</v>
      </c>
      <c r="E49" vm="953">
        <f ca="1"/>
        <v>114.9564</v>
      </c>
      <c r="G49" s="1" vm="135">
        <v>45335</v>
      </c>
      <c r="H49" s="3" vm="954">
        <v>111.58880000000001</v>
      </c>
      <c r="I49" s="5">
        <f ca="1">(SGDJPY[[#This Row],[Price]]-OFFSET(SGDJPY[[#This Row],[Price]],-1,0))/OFFSET(SGDJPY[[#This Row],[Price]],-1,0)</f>
        <v>5.0011933335435028E-3</v>
      </c>
    </row>
    <row r="50" spans="4:9" x14ac:dyDescent="0.35">
      <c r="D50" vm="199">
        <f ca="1"/>
        <v>45425</v>
      </c>
      <c r="E50" vm="955">
        <f ca="1"/>
        <v>115.396</v>
      </c>
      <c r="G50" s="1" vm="136">
        <v>45336</v>
      </c>
      <c r="H50" s="3" vm="956">
        <v>111.65</v>
      </c>
      <c r="I50" s="5">
        <f ca="1">(SGDJPY[[#This Row],[Price]]-OFFSET(SGDJPY[[#This Row],[Price]],-1,0))/OFFSET(SGDJPY[[#This Row],[Price]],-1,0)</f>
        <v>5.4844213756218788E-4</v>
      </c>
    </row>
    <row r="51" spans="4:9" x14ac:dyDescent="0.35">
      <c r="D51" vm="200">
        <f ca="1"/>
        <v>45426</v>
      </c>
      <c r="E51" vm="957">
        <f ca="1"/>
        <v>115.6696</v>
      </c>
      <c r="G51" s="1" vm="137">
        <v>45337</v>
      </c>
      <c r="H51" s="3" vm="958">
        <v>111.3993</v>
      </c>
      <c r="I51" s="5">
        <f ca="1">(SGDJPY[[#This Row],[Price]]-OFFSET(SGDJPY[[#This Row],[Price]],-1,0))/OFFSET(SGDJPY[[#This Row],[Price]],-1,0)</f>
        <v>-2.2454097626512228E-3</v>
      </c>
    </row>
    <row r="52" spans="4:9" x14ac:dyDescent="0.35">
      <c r="D52" vm="201">
        <f ca="1"/>
        <v>45427</v>
      </c>
      <c r="E52" vm="959">
        <f ca="1"/>
        <v>115.1279</v>
      </c>
      <c r="G52" s="1" vm="138">
        <v>45338</v>
      </c>
      <c r="H52" s="3" vm="960">
        <v>111.57250000000001</v>
      </c>
      <c r="I52" s="5">
        <f ca="1">(SGDJPY[[#This Row],[Price]]-OFFSET(SGDJPY[[#This Row],[Price]],-1,0))/OFFSET(SGDJPY[[#This Row],[Price]],-1,0)</f>
        <v>1.5547673997952274E-3</v>
      </c>
    </row>
    <row r="53" spans="4:9" x14ac:dyDescent="0.35">
      <c r="D53" vm="202">
        <f ca="1"/>
        <v>45428</v>
      </c>
      <c r="E53" vm="961">
        <f ca="1"/>
        <v>115.40519999999999</v>
      </c>
      <c r="G53" s="1" vm="139">
        <v>45341</v>
      </c>
      <c r="H53" s="3" vm="962">
        <v>111.5147</v>
      </c>
      <c r="I53" s="5">
        <f ca="1">(SGDJPY[[#This Row],[Price]]-OFFSET(SGDJPY[[#This Row],[Price]],-1,0))/OFFSET(SGDJPY[[#This Row],[Price]],-1,0)</f>
        <v>-5.1804880234825154E-4</v>
      </c>
    </row>
    <row r="54" spans="4:9" x14ac:dyDescent="0.35">
      <c r="D54" vm="203">
        <f ca="1"/>
        <v>45429</v>
      </c>
      <c r="E54" vm="963">
        <f ca="1"/>
        <v>115.64749999999999</v>
      </c>
      <c r="G54" s="1" vm="140">
        <v>45342</v>
      </c>
      <c r="H54" s="3" vm="964">
        <v>111.6246</v>
      </c>
      <c r="I54" s="5">
        <f ca="1">(SGDJPY[[#This Row],[Price]]-OFFSET(SGDJPY[[#This Row],[Price]],-1,0))/OFFSET(SGDJPY[[#This Row],[Price]],-1,0)</f>
        <v>9.8552029463376675E-4</v>
      </c>
    </row>
    <row r="55" spans="4:9" x14ac:dyDescent="0.35">
      <c r="D55" vm="204">
        <f ca="1"/>
        <v>45432</v>
      </c>
      <c r="E55" vm="965">
        <f ca="1"/>
        <v>115.9222</v>
      </c>
      <c r="G55" s="1" vm="141">
        <v>45343</v>
      </c>
      <c r="H55" s="3" vm="966">
        <v>111.7988</v>
      </c>
      <c r="I55" s="5">
        <f ca="1">(SGDJPY[[#This Row],[Price]]-OFFSET(SGDJPY[[#This Row],[Price]],-1,0))/OFFSET(SGDJPY[[#This Row],[Price]],-1,0)</f>
        <v>1.5605878990831682E-3</v>
      </c>
    </row>
    <row r="56" spans="4:9" x14ac:dyDescent="0.35">
      <c r="D56" vm="205">
        <f ca="1"/>
        <v>45433</v>
      </c>
      <c r="E56" vm="967">
        <f ca="1"/>
        <v>115.87269999999999</v>
      </c>
      <c r="G56" s="1" vm="142">
        <v>45344</v>
      </c>
      <c r="H56" s="3" vm="968">
        <v>112.05329999999999</v>
      </c>
      <c r="I56" s="5">
        <f ca="1">(SGDJPY[[#This Row],[Price]]-OFFSET(SGDJPY[[#This Row],[Price]],-1,0))/OFFSET(SGDJPY[[#This Row],[Price]],-1,0)</f>
        <v>2.2764108380411334E-3</v>
      </c>
    </row>
    <row r="57" spans="4:9" x14ac:dyDescent="0.35">
      <c r="D57" vm="206">
        <f ca="1"/>
        <v>45434</v>
      </c>
      <c r="E57" vm="969">
        <f ca="1"/>
        <v>116.05719999999999</v>
      </c>
      <c r="G57" s="1" vm="143">
        <v>45345</v>
      </c>
      <c r="H57" s="3" vm="970">
        <v>112.0292</v>
      </c>
      <c r="I57" s="5">
        <f ca="1">(SGDJPY[[#This Row],[Price]]-OFFSET(SGDJPY[[#This Row],[Price]],-1,0))/OFFSET(SGDJPY[[#This Row],[Price]],-1,0)</f>
        <v>-2.1507621819250321E-4</v>
      </c>
    </row>
    <row r="58" spans="4:9" x14ac:dyDescent="0.35">
      <c r="D58" vm="207">
        <f ca="1"/>
        <v>45435</v>
      </c>
      <c r="E58" vm="971">
        <f ca="1"/>
        <v>116.08110000000001</v>
      </c>
      <c r="G58" s="1" vm="144">
        <v>45348</v>
      </c>
      <c r="H58" s="3" vm="972">
        <v>112.0779</v>
      </c>
      <c r="I58" s="5">
        <f ca="1">(SGDJPY[[#This Row],[Price]]-OFFSET(SGDJPY[[#This Row],[Price]],-1,0))/OFFSET(SGDJPY[[#This Row],[Price]],-1,0)</f>
        <v>4.3470809396118721E-4</v>
      </c>
    </row>
    <row r="59" spans="4:9" x14ac:dyDescent="0.35">
      <c r="D59" vm="208">
        <f ca="1"/>
        <v>45436</v>
      </c>
      <c r="E59" vm="973">
        <f ca="1"/>
        <v>116.2544</v>
      </c>
      <c r="G59" s="1" vm="145">
        <v>45349</v>
      </c>
      <c r="H59" s="3" vm="974">
        <v>111.9542</v>
      </c>
      <c r="I59" s="5">
        <f ca="1">(SGDJPY[[#This Row],[Price]]-OFFSET(SGDJPY[[#This Row],[Price]],-1,0))/OFFSET(SGDJPY[[#This Row],[Price]],-1,0)</f>
        <v>-1.1036966252936527E-3</v>
      </c>
    </row>
    <row r="60" spans="4:9" x14ac:dyDescent="0.35">
      <c r="D60" vm="209">
        <f ca="1"/>
        <v>45439</v>
      </c>
      <c r="E60" vm="975">
        <f ca="1"/>
        <v>116.2012</v>
      </c>
      <c r="G60" s="1" vm="146">
        <v>45350</v>
      </c>
      <c r="H60" s="3" vm="976">
        <v>111.929</v>
      </c>
      <c r="I60" s="5">
        <f ca="1">(SGDJPY[[#This Row],[Price]]-OFFSET(SGDJPY[[#This Row],[Price]],-1,0))/OFFSET(SGDJPY[[#This Row],[Price]],-1,0)</f>
        <v>-2.2509204656902655E-4</v>
      </c>
    </row>
    <row r="61" spans="4:9" x14ac:dyDescent="0.35">
      <c r="D61" vm="210">
        <f ca="1"/>
        <v>45440</v>
      </c>
      <c r="E61" vm="977">
        <f ca="1"/>
        <v>116.4961</v>
      </c>
      <c r="G61" s="1" vm="147">
        <v>45351</v>
      </c>
      <c r="H61" s="3" vm="978">
        <v>111.4182</v>
      </c>
      <c r="I61" s="5">
        <f ca="1">(SGDJPY[[#This Row],[Price]]-OFFSET(SGDJPY[[#This Row],[Price]],-1,0))/OFFSET(SGDJPY[[#This Row],[Price]],-1,0)</f>
        <v>-4.5636072867621729E-3</v>
      </c>
    </row>
    <row r="62" spans="4:9" x14ac:dyDescent="0.35">
      <c r="D62" vm="211">
        <f ca="1"/>
        <v>45441</v>
      </c>
      <c r="E62" vm="979">
        <f ca="1"/>
        <v>116.5718</v>
      </c>
      <c r="G62" s="1" vm="148">
        <v>45352</v>
      </c>
      <c r="H62" s="3" vm="980">
        <v>111.6391</v>
      </c>
      <c r="I62" s="5">
        <f ca="1">(SGDJPY[[#This Row],[Price]]-OFFSET(SGDJPY[[#This Row],[Price]],-1,0))/OFFSET(SGDJPY[[#This Row],[Price]],-1,0)</f>
        <v>1.9826204336454937E-3</v>
      </c>
    </row>
    <row r="63" spans="4:9" x14ac:dyDescent="0.35">
      <c r="D63" vm="212">
        <f ca="1"/>
        <v>45442</v>
      </c>
      <c r="E63" vm="981">
        <f ca="1"/>
        <v>116.1383</v>
      </c>
      <c r="G63" s="1" vm="149">
        <v>45355</v>
      </c>
      <c r="H63" s="3" vm="982">
        <v>112.01990000000001</v>
      </c>
      <c r="I63" s="5">
        <f ca="1">(SGDJPY[[#This Row],[Price]]-OFFSET(SGDJPY[[#This Row],[Price]],-1,0))/OFFSET(SGDJPY[[#This Row],[Price]],-1,0)</f>
        <v>3.4109913103922175E-3</v>
      </c>
    </row>
    <row r="64" spans="4:9" x14ac:dyDescent="0.35">
      <c r="D64" vm="213">
        <f ca="1"/>
        <v>45443</v>
      </c>
      <c r="E64" vm="983">
        <f ca="1"/>
        <v>116.39660000000001</v>
      </c>
      <c r="G64" s="1" vm="150">
        <v>45356</v>
      </c>
      <c r="H64" s="3" vm="984">
        <v>111.72</v>
      </c>
      <c r="I64" s="5">
        <f ca="1">(SGDJPY[[#This Row],[Price]]-OFFSET(SGDJPY[[#This Row],[Price]],-1,0))/OFFSET(SGDJPY[[#This Row],[Price]],-1,0)</f>
        <v>-2.6772028898437513E-3</v>
      </c>
    </row>
    <row r="65" spans="4:9" x14ac:dyDescent="0.35">
      <c r="D65" vm="214">
        <f ca="1"/>
        <v>45446</v>
      </c>
      <c r="E65" vm="985">
        <f ca="1"/>
        <v>115.9646</v>
      </c>
      <c r="G65" s="1" vm="151">
        <v>45357</v>
      </c>
      <c r="H65" s="3" vm="859">
        <v>111.5617</v>
      </c>
      <c r="I65" s="5">
        <f ca="1">(SGDJPY[[#This Row],[Price]]-OFFSET(SGDJPY[[#This Row],[Price]],-1,0))/OFFSET(SGDJPY[[#This Row],[Price]],-1,0)</f>
        <v>-1.4169351951306571E-3</v>
      </c>
    </row>
    <row r="66" spans="4:9" x14ac:dyDescent="0.35">
      <c r="D66" vm="215">
        <f ca="1"/>
        <v>45447</v>
      </c>
      <c r="E66" vm="986">
        <f ca="1"/>
        <v>114.974</v>
      </c>
      <c r="G66" s="1" vm="152">
        <v>45358</v>
      </c>
      <c r="H66" s="3" vm="861">
        <v>111.0253</v>
      </c>
      <c r="I66" s="5">
        <f ca="1">(SGDJPY[[#This Row],[Price]]-OFFSET(SGDJPY[[#This Row],[Price]],-1,0))/OFFSET(SGDJPY[[#This Row],[Price]],-1,0)</f>
        <v>-4.8081017051550884E-3</v>
      </c>
    </row>
    <row r="67" spans="4:9" x14ac:dyDescent="0.35">
      <c r="D67" vm="216">
        <f ca="1"/>
        <v>45448</v>
      </c>
      <c r="E67" vm="987">
        <f ca="1"/>
        <v>115.7153</v>
      </c>
      <c r="G67" s="1" vm="153">
        <v>45359</v>
      </c>
      <c r="H67" s="3" vm="863">
        <v>110.45440000000001</v>
      </c>
      <c r="I67" s="5">
        <f ca="1">(SGDJPY[[#This Row],[Price]]-OFFSET(SGDJPY[[#This Row],[Price]],-1,0))/OFFSET(SGDJPY[[#This Row],[Price]],-1,0)</f>
        <v>-5.142071221604397E-3</v>
      </c>
    </row>
    <row r="68" spans="4:9" x14ac:dyDescent="0.35">
      <c r="D68" vm="217">
        <f ca="1"/>
        <v>45449</v>
      </c>
      <c r="E68" vm="988">
        <f ca="1"/>
        <v>115.6018</v>
      </c>
      <c r="G68" s="1" vm="154">
        <v>45362</v>
      </c>
      <c r="H68" s="3" vm="865">
        <v>110.44799999999999</v>
      </c>
      <c r="I68" s="5">
        <f ca="1">(SGDJPY[[#This Row],[Price]]-OFFSET(SGDJPY[[#This Row],[Price]],-1,0))/OFFSET(SGDJPY[[#This Row],[Price]],-1,0)</f>
        <v>-5.7942463134230106E-5</v>
      </c>
    </row>
    <row r="69" spans="4:9" x14ac:dyDescent="0.35">
      <c r="D69" vm="218">
        <f ca="1"/>
        <v>45450</v>
      </c>
      <c r="E69" vm="989">
        <f ca="1"/>
        <v>115.9024</v>
      </c>
      <c r="G69" s="1" vm="155">
        <v>45363</v>
      </c>
      <c r="H69" s="3" vm="867">
        <v>110.7976</v>
      </c>
      <c r="I69" s="5">
        <f ca="1">(SGDJPY[[#This Row],[Price]]-OFFSET(SGDJPY[[#This Row],[Price]],-1,0))/OFFSET(SGDJPY[[#This Row],[Price]],-1,0)</f>
        <v>3.1652904534261324E-3</v>
      </c>
    </row>
    <row r="70" spans="4:9" x14ac:dyDescent="0.35">
      <c r="D70" vm="219">
        <f ca="1"/>
        <v>45453</v>
      </c>
      <c r="E70" vm="990">
        <f ca="1"/>
        <v>116.07040000000001</v>
      </c>
      <c r="G70" s="1" vm="156">
        <v>45364</v>
      </c>
      <c r="H70" s="3" vm="869">
        <v>110.866</v>
      </c>
      <c r="I70" s="5">
        <f ca="1">(SGDJPY[[#This Row],[Price]]-OFFSET(SGDJPY[[#This Row],[Price]],-1,0))/OFFSET(SGDJPY[[#This Row],[Price]],-1,0)</f>
        <v>6.1734189188210667E-4</v>
      </c>
    </row>
    <row r="71" spans="4:9" x14ac:dyDescent="0.35">
      <c r="D71" vm="220">
        <f ca="1"/>
        <v>45454</v>
      </c>
      <c r="E71" vm="991">
        <f ca="1"/>
        <v>116.08159999999999</v>
      </c>
      <c r="G71" s="1" vm="157">
        <v>45365</v>
      </c>
      <c r="H71" s="3" vm="871">
        <v>111.01049999999999</v>
      </c>
      <c r="I71" s="5">
        <f ca="1">(SGDJPY[[#This Row],[Price]]-OFFSET(SGDJPY[[#This Row],[Price]],-1,0))/OFFSET(SGDJPY[[#This Row],[Price]],-1,0)</f>
        <v>1.3033752457921601E-3</v>
      </c>
    </row>
    <row r="72" spans="4:9" x14ac:dyDescent="0.35">
      <c r="D72" vm="221">
        <f ca="1"/>
        <v>45455</v>
      </c>
      <c r="E72" vm="992">
        <f ca="1"/>
        <v>116.3141</v>
      </c>
      <c r="G72" s="1" vm="158">
        <v>45366</v>
      </c>
      <c r="H72" s="3" vm="873">
        <v>111.37520000000001</v>
      </c>
      <c r="I72" s="5">
        <f ca="1">(SGDJPY[[#This Row],[Price]]-OFFSET(SGDJPY[[#This Row],[Price]],-1,0))/OFFSET(SGDJPY[[#This Row],[Price]],-1,0)</f>
        <v>3.2852748163463221E-3</v>
      </c>
    </row>
    <row r="73" spans="4:9" x14ac:dyDescent="0.35">
      <c r="D73" vm="222">
        <f ca="1"/>
        <v>45456</v>
      </c>
      <c r="E73" vm="993">
        <f ca="1"/>
        <v>116.21639999999999</v>
      </c>
      <c r="G73" s="1" vm="159">
        <v>45369</v>
      </c>
      <c r="H73" s="3" vm="875">
        <v>111.36409999999999</v>
      </c>
      <c r="I73" s="5">
        <f ca="1">(SGDJPY[[#This Row],[Price]]-OFFSET(SGDJPY[[#This Row],[Price]],-1,0))/OFFSET(SGDJPY[[#This Row],[Price]],-1,0)</f>
        <v>-9.9663120694851368E-5</v>
      </c>
    </row>
    <row r="74" spans="4:9" x14ac:dyDescent="0.35">
      <c r="D74" vm="223">
        <f ca="1"/>
        <v>45457</v>
      </c>
      <c r="E74" vm="994">
        <f ca="1"/>
        <v>116.2861</v>
      </c>
      <c r="G74" s="1" vm="160">
        <v>45370</v>
      </c>
      <c r="H74" s="3" vm="877">
        <v>112.3817</v>
      </c>
      <c r="I74" s="5">
        <f ca="1">(SGDJPY[[#This Row],[Price]]-OFFSET(SGDJPY[[#This Row],[Price]],-1,0))/OFFSET(SGDJPY[[#This Row],[Price]],-1,0)</f>
        <v>9.1375946108306141E-3</v>
      </c>
    </row>
    <row r="75" spans="4:9" x14ac:dyDescent="0.35">
      <c r="D75" vm="224">
        <f ca="1"/>
        <v>45460</v>
      </c>
      <c r="E75" vm="995">
        <f ca="1"/>
        <v>116.6322</v>
      </c>
      <c r="G75" s="1" vm="161">
        <v>45371</v>
      </c>
      <c r="H75" s="3" vm="879">
        <v>112.8909</v>
      </c>
      <c r="I75" s="5">
        <f ca="1">(SGDJPY[[#This Row],[Price]]-OFFSET(SGDJPY[[#This Row],[Price]],-1,0))/OFFSET(SGDJPY[[#This Row],[Price]],-1,0)</f>
        <v>4.5309868065708829E-3</v>
      </c>
    </row>
    <row r="76" spans="4:9" x14ac:dyDescent="0.35">
      <c r="D76" vm="225">
        <f ca="1"/>
        <v>45461</v>
      </c>
      <c r="E76" vm="996">
        <f ca="1"/>
        <v>116.8394</v>
      </c>
      <c r="G76" s="1" vm="162">
        <v>45372</v>
      </c>
      <c r="H76" s="3" vm="881">
        <v>112.8051</v>
      </c>
      <c r="I76" s="5">
        <f ca="1">(SGDJPY[[#This Row],[Price]]-OFFSET(SGDJPY[[#This Row],[Price]],-1,0))/OFFSET(SGDJPY[[#This Row],[Price]],-1,0)</f>
        <v>-7.6002583024855058E-4</v>
      </c>
    </row>
    <row r="77" spans="4:9" x14ac:dyDescent="0.35">
      <c r="D77" vm="226">
        <f ca="1"/>
        <v>45462</v>
      </c>
      <c r="E77" vm="997">
        <f ca="1"/>
        <v>117.0183</v>
      </c>
      <c r="G77" s="1" vm="163">
        <v>45373</v>
      </c>
      <c r="H77" s="3" vm="883">
        <v>112.2628</v>
      </c>
      <c r="I77" s="5">
        <f ca="1">(SGDJPY[[#This Row],[Price]]-OFFSET(SGDJPY[[#This Row],[Price]],-1,0))/OFFSET(SGDJPY[[#This Row],[Price]],-1,0)</f>
        <v>-4.8074067573185726E-3</v>
      </c>
    </row>
    <row r="78" spans="4:9" x14ac:dyDescent="0.35">
      <c r="D78" vm="227">
        <f ca="1"/>
        <v>45463</v>
      </c>
      <c r="E78" vm="998">
        <f ca="1"/>
        <v>117.31270000000001</v>
      </c>
      <c r="G78" s="1" vm="164">
        <v>45376</v>
      </c>
      <c r="H78" s="3" vm="885">
        <v>112.4554</v>
      </c>
      <c r="I78" s="5">
        <f ca="1">(SGDJPY[[#This Row],[Price]]-OFFSET(SGDJPY[[#This Row],[Price]],-1,0))/OFFSET(SGDJPY[[#This Row],[Price]],-1,0)</f>
        <v>1.715617283730664E-3</v>
      </c>
    </row>
    <row r="79" spans="4:9" x14ac:dyDescent="0.35">
      <c r="D79" vm="228">
        <f ca="1"/>
        <v>45464</v>
      </c>
      <c r="E79" vm="999">
        <f ca="1"/>
        <v>117.8827</v>
      </c>
      <c r="G79" s="1" vm="165">
        <v>45377</v>
      </c>
      <c r="H79" s="3" vm="887">
        <v>112.60120000000001</v>
      </c>
      <c r="I79" s="5">
        <f ca="1">(SGDJPY[[#This Row],[Price]]-OFFSET(SGDJPY[[#This Row],[Price]],-1,0))/OFFSET(SGDJPY[[#This Row],[Price]],-1,0)</f>
        <v>1.2965139957708423E-3</v>
      </c>
    </row>
    <row r="80" spans="4:9" x14ac:dyDescent="0.35">
      <c r="D80" vm="229">
        <f ca="1"/>
        <v>45467</v>
      </c>
      <c r="E80" vm="1000">
        <f ca="1"/>
        <v>117.9614</v>
      </c>
      <c r="G80" s="1" vm="166">
        <v>45378</v>
      </c>
      <c r="H80" s="3" vm="889">
        <v>112.28019999999999</v>
      </c>
      <c r="I80" s="5">
        <f ca="1">(SGDJPY[[#This Row],[Price]]-OFFSET(SGDJPY[[#This Row],[Price]],-1,0))/OFFSET(SGDJPY[[#This Row],[Price]],-1,0)</f>
        <v>-2.8507689083243533E-3</v>
      </c>
    </row>
    <row r="81" spans="4:9" x14ac:dyDescent="0.35">
      <c r="D81" vm="230">
        <f ca="1"/>
        <v>45468</v>
      </c>
      <c r="E81" vm="1001">
        <f ca="1"/>
        <v>117.86109999999999</v>
      </c>
      <c r="G81" s="1" vm="167">
        <v>45379</v>
      </c>
      <c r="H81" s="3" vm="891">
        <v>112.0844</v>
      </c>
      <c r="I81" s="5">
        <f ca="1">(SGDJPY[[#This Row],[Price]]-OFFSET(SGDJPY[[#This Row],[Price]],-1,0))/OFFSET(SGDJPY[[#This Row],[Price]],-1,0)</f>
        <v>-1.7438515428365047E-3</v>
      </c>
    </row>
    <row r="82" spans="4:9" x14ac:dyDescent="0.35">
      <c r="D82" vm="231">
        <f ca="1"/>
        <v>45469</v>
      </c>
      <c r="E82" vm="1002">
        <f ca="1"/>
        <v>118.3411</v>
      </c>
      <c r="G82" s="1" vm="168">
        <v>45380</v>
      </c>
      <c r="H82" s="3" vm="893">
        <v>112.136</v>
      </c>
      <c r="I82" s="5">
        <f ca="1">(SGDJPY[[#This Row],[Price]]-OFFSET(SGDJPY[[#This Row],[Price]],-1,0))/OFFSET(SGDJPY[[#This Row],[Price]],-1,0)</f>
        <v>4.6036736602054725E-4</v>
      </c>
    </row>
    <row r="83" spans="4:9" x14ac:dyDescent="0.35">
      <c r="D83" vm="232">
        <f ca="1"/>
        <v>45470</v>
      </c>
      <c r="E83" vm="1003">
        <f ca="1"/>
        <v>118.29559999999999</v>
      </c>
      <c r="G83" s="1" vm="169">
        <v>45383</v>
      </c>
      <c r="H83" s="3" vm="895">
        <v>112.1026</v>
      </c>
      <c r="I83" s="5">
        <f ca="1">(SGDJPY[[#This Row],[Price]]-OFFSET(SGDJPY[[#This Row],[Price]],-1,0))/OFFSET(SGDJPY[[#This Row],[Price]],-1,0)</f>
        <v>-2.9785260754798033E-4</v>
      </c>
    </row>
    <row r="84" spans="4:9" x14ac:dyDescent="0.35">
      <c r="D84" vm="233">
        <f ca="1"/>
        <v>45471</v>
      </c>
      <c r="E84" vm="1004">
        <f ca="1"/>
        <v>118.5625</v>
      </c>
      <c r="G84" s="1" vm="170">
        <v>45384</v>
      </c>
      <c r="H84" s="3" vm="897">
        <v>112.1347</v>
      </c>
      <c r="I84" s="5">
        <f ca="1">(SGDJPY[[#This Row],[Price]]-OFFSET(SGDJPY[[#This Row],[Price]],-1,0))/OFFSET(SGDJPY[[#This Row],[Price]],-1,0)</f>
        <v>2.8634483053916501E-4</v>
      </c>
    </row>
    <row r="85" spans="4:9" x14ac:dyDescent="0.35">
      <c r="D85" vm="234">
        <f ca="1"/>
        <v>45474</v>
      </c>
      <c r="E85" vm="1005">
        <f ca="1"/>
        <v>118.8706</v>
      </c>
      <c r="G85" s="1" vm="171">
        <v>45385</v>
      </c>
      <c r="H85" s="3" vm="899">
        <v>112.49720000000001</v>
      </c>
      <c r="I85" s="5">
        <f ca="1">(SGDJPY[[#This Row],[Price]]-OFFSET(SGDJPY[[#This Row],[Price]],-1,0))/OFFSET(SGDJPY[[#This Row],[Price]],-1,0)</f>
        <v>3.2327192207230356E-3</v>
      </c>
    </row>
    <row r="86" spans="4:9" x14ac:dyDescent="0.35">
      <c r="D86" vm="235">
        <f ca="1"/>
        <v>45475</v>
      </c>
      <c r="E86" vm="1006">
        <f ca="1"/>
        <v>119.0385</v>
      </c>
      <c r="G86" s="1" vm="172">
        <v>45386</v>
      </c>
      <c r="H86" s="3" vm="901">
        <v>112.196</v>
      </c>
      <c r="I86" s="5">
        <f ca="1">(SGDJPY[[#This Row],[Price]]-OFFSET(SGDJPY[[#This Row],[Price]],-1,0))/OFFSET(SGDJPY[[#This Row],[Price]],-1,0)</f>
        <v>-2.6773999708437947E-3</v>
      </c>
    </row>
    <row r="87" spans="4:9" x14ac:dyDescent="0.35">
      <c r="D87" vm="236">
        <f ca="1"/>
        <v>45476</v>
      </c>
      <c r="E87" vm="1007">
        <f ca="1"/>
        <v>119.4003</v>
      </c>
      <c r="G87" s="1" vm="173">
        <v>45387</v>
      </c>
      <c r="H87" s="3" vm="903">
        <v>112.39530000000001</v>
      </c>
      <c r="I87" s="5">
        <f ca="1">(SGDJPY[[#This Row],[Price]]-OFFSET(SGDJPY[[#This Row],[Price]],-1,0))/OFFSET(SGDJPY[[#This Row],[Price]],-1,0)</f>
        <v>1.7763556633035762E-3</v>
      </c>
    </row>
    <row r="88" spans="4:9" x14ac:dyDescent="0.35">
      <c r="D88" vm="237">
        <f ca="1"/>
        <v>45477</v>
      </c>
      <c r="E88" vm="1008">
        <f ca="1"/>
        <v>119.2413</v>
      </c>
      <c r="G88" s="1" vm="174">
        <v>45390</v>
      </c>
      <c r="H88" s="3" vm="905">
        <v>112.63630000000001</v>
      </c>
      <c r="I88" s="5">
        <f ca="1">(SGDJPY[[#This Row],[Price]]-OFFSET(SGDJPY[[#This Row],[Price]],-1,0))/OFFSET(SGDJPY[[#This Row],[Price]],-1,0)</f>
        <v>2.1442177742307697E-3</v>
      </c>
    </row>
    <row r="89" spans="4:9" x14ac:dyDescent="0.35">
      <c r="D89" vm="238">
        <f ca="1"/>
        <v>45478</v>
      </c>
      <c r="E89" vm="1009">
        <f ca="1"/>
        <v>119.15779999999999</v>
      </c>
      <c r="G89" s="1" vm="175">
        <v>45391</v>
      </c>
      <c r="H89" s="3" vm="907">
        <v>112.82340000000001</v>
      </c>
      <c r="I89" s="5">
        <f ca="1">(SGDJPY[[#This Row],[Price]]-OFFSET(SGDJPY[[#This Row],[Price]],-1,0))/OFFSET(SGDJPY[[#This Row],[Price]],-1,0)</f>
        <v>1.6610985978765364E-3</v>
      </c>
    </row>
    <row r="90" spans="4:9" x14ac:dyDescent="0.35">
      <c r="D90" vm="239">
        <f ca="1"/>
        <v>45481</v>
      </c>
      <c r="E90" vm="1010">
        <f ca="1"/>
        <v>119.1185</v>
      </c>
      <c r="G90" s="1" vm="176">
        <v>45392</v>
      </c>
      <c r="H90" s="3" vm="909">
        <v>113.126</v>
      </c>
      <c r="I90" s="5">
        <f ca="1">(SGDJPY[[#This Row],[Price]]-OFFSET(SGDJPY[[#This Row],[Price]],-1,0))/OFFSET(SGDJPY[[#This Row],[Price]],-1,0)</f>
        <v>2.682067727084968E-3</v>
      </c>
    </row>
    <row r="91" spans="4:9" x14ac:dyDescent="0.35">
      <c r="D91" vm="240">
        <f ca="1"/>
        <v>45482</v>
      </c>
      <c r="E91" vm="1011">
        <f ca="1"/>
        <v>119.4004</v>
      </c>
      <c r="G91" s="1" vm="177">
        <v>45393</v>
      </c>
      <c r="H91" s="3" vm="911">
        <v>113.23139999999999</v>
      </c>
      <c r="I91" s="5">
        <f ca="1">(SGDJPY[[#This Row],[Price]]-OFFSET(SGDJPY[[#This Row],[Price]],-1,0))/OFFSET(SGDJPY[[#This Row],[Price]],-1,0)</f>
        <v>9.3170447112059858E-4</v>
      </c>
    </row>
    <row r="92" spans="4:9" x14ac:dyDescent="0.35">
      <c r="D92" vm="241">
        <f ca="1"/>
        <v>45483</v>
      </c>
      <c r="E92" vm="1012">
        <f ca="1"/>
        <v>119.8532</v>
      </c>
      <c r="G92" s="1" vm="178">
        <v>45394</v>
      </c>
      <c r="H92" s="3" vm="913">
        <v>112.5817</v>
      </c>
      <c r="I92" s="5">
        <f ca="1">(SGDJPY[[#This Row],[Price]]-OFFSET(SGDJPY[[#This Row],[Price]],-1,0))/OFFSET(SGDJPY[[#This Row],[Price]],-1,0)</f>
        <v>-5.7378077105820092E-3</v>
      </c>
    </row>
    <row r="93" spans="4:9" x14ac:dyDescent="0.35">
      <c r="D93" vm="242">
        <f ca="1"/>
        <v>45484</v>
      </c>
      <c r="E93" vm="1013">
        <f ca="1"/>
        <v>118.2353</v>
      </c>
      <c r="G93" s="1" vm="179">
        <v>45397</v>
      </c>
      <c r="H93" s="3" vm="915">
        <v>113.16849999999999</v>
      </c>
      <c r="I93" s="5">
        <f ca="1">(SGDJPY[[#This Row],[Price]]-OFFSET(SGDJPY[[#This Row],[Price]],-1,0))/OFFSET(SGDJPY[[#This Row],[Price]],-1,0)</f>
        <v>5.2122147738042392E-3</v>
      </c>
    </row>
    <row r="94" spans="4:9" x14ac:dyDescent="0.35">
      <c r="D94" vm="243">
        <f ca="1"/>
        <v>45485</v>
      </c>
      <c r="E94" vm="1014">
        <f ca="1"/>
        <v>117.7317</v>
      </c>
      <c r="G94" s="1" vm="180">
        <v>45398</v>
      </c>
      <c r="H94" s="3" vm="917">
        <v>113.3241</v>
      </c>
      <c r="I94" s="5">
        <f ca="1">(SGDJPY[[#This Row],[Price]]-OFFSET(SGDJPY[[#This Row],[Price]],-1,0))/OFFSET(SGDJPY[[#This Row],[Price]],-1,0)</f>
        <v>1.3749409067011303E-3</v>
      </c>
    </row>
    <row r="95" spans="4:9" x14ac:dyDescent="0.35">
      <c r="D95" vm="244">
        <f ca="1"/>
        <v>45488</v>
      </c>
      <c r="E95" vm="1015">
        <f ca="1"/>
        <v>117.58450000000001</v>
      </c>
      <c r="G95" s="1" vm="181">
        <v>45399</v>
      </c>
      <c r="H95" s="3" vm="919">
        <v>113.423</v>
      </c>
      <c r="I95" s="5">
        <f ca="1">(SGDJPY[[#This Row],[Price]]-OFFSET(SGDJPY[[#This Row],[Price]],-1,0))/OFFSET(SGDJPY[[#This Row],[Price]],-1,0)</f>
        <v>8.7271815968536636E-4</v>
      </c>
    </row>
    <row r="96" spans="4:9" x14ac:dyDescent="0.35">
      <c r="D96" vm="245">
        <f ca="1"/>
        <v>45489</v>
      </c>
      <c r="E96" vm="1016">
        <f ca="1"/>
        <v>117.7774</v>
      </c>
      <c r="G96" s="1" vm="182">
        <v>45400</v>
      </c>
      <c r="H96" s="3" vm="921">
        <v>113.5149</v>
      </c>
      <c r="I96" s="5">
        <f ca="1">(SGDJPY[[#This Row],[Price]]-OFFSET(SGDJPY[[#This Row],[Price]],-1,0))/OFFSET(SGDJPY[[#This Row],[Price]],-1,0)</f>
        <v>8.1024130908189198E-4</v>
      </c>
    </row>
    <row r="97" spans="4:9" x14ac:dyDescent="0.35">
      <c r="D97" vm="246">
        <f ca="1"/>
        <v>45490</v>
      </c>
      <c r="E97" vm="1017">
        <f ca="1"/>
        <v>116.42440000000001</v>
      </c>
      <c r="G97" s="1" vm="183">
        <v>45401</v>
      </c>
      <c r="H97" s="3" vm="923">
        <v>113.5399</v>
      </c>
      <c r="I97" s="5">
        <f ca="1">(SGDJPY[[#This Row],[Price]]-OFFSET(SGDJPY[[#This Row],[Price]],-1,0))/OFFSET(SGDJPY[[#This Row],[Price]],-1,0)</f>
        <v>2.2023540521998156E-4</v>
      </c>
    </row>
    <row r="98" spans="4:9" x14ac:dyDescent="0.35">
      <c r="D98" vm="247">
        <f ca="1"/>
        <v>45491</v>
      </c>
      <c r="E98" vm="1018">
        <f ca="1"/>
        <v>117.0659</v>
      </c>
      <c r="G98" s="1" vm="184">
        <v>45404</v>
      </c>
      <c r="H98" s="3" vm="925">
        <v>113.67740000000001</v>
      </c>
      <c r="I98" s="5">
        <f ca="1">(SGDJPY[[#This Row],[Price]]-OFFSET(SGDJPY[[#This Row],[Price]],-1,0))/OFFSET(SGDJPY[[#This Row],[Price]],-1,0)</f>
        <v>1.2110280174634895E-3</v>
      </c>
    </row>
    <row r="99" spans="4:9" x14ac:dyDescent="0.35">
      <c r="D99" vm="248">
        <f ca="1"/>
        <v>45492</v>
      </c>
      <c r="E99" vm="1019">
        <f ca="1"/>
        <v>117.0146</v>
      </c>
      <c r="G99" s="1" vm="185">
        <v>45405</v>
      </c>
      <c r="H99" s="3" vm="927">
        <v>113.7118</v>
      </c>
      <c r="I99" s="5">
        <f ca="1">(SGDJPY[[#This Row],[Price]]-OFFSET(SGDJPY[[#This Row],[Price]],-1,0))/OFFSET(SGDJPY[[#This Row],[Price]],-1,0)</f>
        <v>3.0261072121627413E-4</v>
      </c>
    </row>
    <row r="100" spans="4:9" x14ac:dyDescent="0.35">
      <c r="D100" vm="249">
        <f ca="1"/>
        <v>45495</v>
      </c>
      <c r="E100" vm="1020">
        <f ca="1"/>
        <v>116.64190000000001</v>
      </c>
      <c r="G100" s="1" vm="186">
        <v>45406</v>
      </c>
      <c r="H100" s="3" vm="929">
        <v>114.0277</v>
      </c>
      <c r="I100" s="5">
        <f ca="1">(SGDJPY[[#This Row],[Price]]-OFFSET(SGDJPY[[#This Row],[Price]],-1,0))/OFFSET(SGDJPY[[#This Row],[Price]],-1,0)</f>
        <v>2.7780758021594873E-3</v>
      </c>
    </row>
    <row r="101" spans="4:9" x14ac:dyDescent="0.35">
      <c r="D101" vm="250">
        <f ca="1"/>
        <v>45496</v>
      </c>
      <c r="E101" vm="1021">
        <f ca="1"/>
        <v>115.6127</v>
      </c>
      <c r="G101" s="1" vm="187">
        <v>45407</v>
      </c>
      <c r="H101" s="3" vm="931">
        <v>114.5243</v>
      </c>
      <c r="I101" s="5">
        <f ca="1">(SGDJPY[[#This Row],[Price]]-OFFSET(SGDJPY[[#This Row],[Price]],-1,0))/OFFSET(SGDJPY[[#This Row],[Price]],-1,0)</f>
        <v>4.3550821423215657E-3</v>
      </c>
    </row>
    <row r="102" spans="4:9" x14ac:dyDescent="0.35">
      <c r="D102" vm="251">
        <f ca="1"/>
        <v>45497</v>
      </c>
      <c r="E102" vm="1022">
        <f ca="1"/>
        <v>114.5356</v>
      </c>
      <c r="G102" s="1" vm="188">
        <v>45408</v>
      </c>
      <c r="H102" s="3" vm="933">
        <v>116.1641</v>
      </c>
      <c r="I102" s="5">
        <f ca="1">(SGDJPY[[#This Row],[Price]]-OFFSET(SGDJPY[[#This Row],[Price]],-1,0))/OFFSET(SGDJPY[[#This Row],[Price]],-1,0)</f>
        <v>1.4318358636551442E-2</v>
      </c>
    </row>
    <row r="103" spans="4:9" x14ac:dyDescent="0.35">
      <c r="D103" vm="252">
        <f ca="1"/>
        <v>45498</v>
      </c>
      <c r="E103" vm="1023">
        <f ca="1"/>
        <v>114.58240000000001</v>
      </c>
      <c r="G103" s="1" vm="189">
        <v>45411</v>
      </c>
      <c r="H103" s="3" vm="935">
        <v>114.9823</v>
      </c>
      <c r="I103" s="5">
        <f ca="1">(SGDJPY[[#This Row],[Price]]-OFFSET(SGDJPY[[#This Row],[Price]],-1,0))/OFFSET(SGDJPY[[#This Row],[Price]],-1,0)</f>
        <v>-1.0173538984936049E-2</v>
      </c>
    </row>
    <row r="104" spans="4:9" x14ac:dyDescent="0.35">
      <c r="D104" vm="1">
        <f ca="1"/>
        <v>45499</v>
      </c>
      <c r="E104" vm="1024">
        <f ca="1"/>
        <v>114.4772</v>
      </c>
      <c r="G104" s="1" vm="190">
        <v>45412</v>
      </c>
      <c r="H104" s="3" vm="937">
        <v>115.5621</v>
      </c>
      <c r="I104" s="5">
        <f ca="1">(SGDJPY[[#This Row],[Price]]-OFFSET(SGDJPY[[#This Row],[Price]],-1,0))/OFFSET(SGDJPY[[#This Row],[Price]],-1,0)</f>
        <v>5.0425152393021007E-3</v>
      </c>
    </row>
    <row r="105" spans="4:9" x14ac:dyDescent="0.35">
      <c r="D105" vm="2">
        <f ca="1"/>
        <v>45502</v>
      </c>
      <c r="E105" vm="1025">
        <f ca="1"/>
        <v>114.63339999999999</v>
      </c>
      <c r="G105" s="1" vm="191">
        <v>45413</v>
      </c>
      <c r="H105" s="3" vm="939">
        <v>113.45569999999999</v>
      </c>
      <c r="I105" s="5">
        <f ca="1">(SGDJPY[[#This Row],[Price]]-OFFSET(SGDJPY[[#This Row],[Price]],-1,0))/OFFSET(SGDJPY[[#This Row],[Price]],-1,0)</f>
        <v>-1.8227429235017429E-2</v>
      </c>
    </row>
    <row r="106" spans="4:9" x14ac:dyDescent="0.35">
      <c r="D106" vm="3">
        <f ca="1"/>
        <v>45503</v>
      </c>
      <c r="E106" vm="1026">
        <f ca="1"/>
        <v>113.7962</v>
      </c>
      <c r="G106" s="1" vm="192">
        <v>45414</v>
      </c>
      <c r="H106" s="3" vm="941">
        <v>113.3633</v>
      </c>
      <c r="I106" s="5">
        <f ca="1">(SGDJPY[[#This Row],[Price]]-OFFSET(SGDJPY[[#This Row],[Price]],-1,0))/OFFSET(SGDJPY[[#This Row],[Price]],-1,0)</f>
        <v>-8.1441478920845603E-4</v>
      </c>
    </row>
    <row r="107" spans="4:9" x14ac:dyDescent="0.35">
      <c r="D107" vm="4">
        <f ca="1"/>
        <v>45504</v>
      </c>
      <c r="E107" vm="1027">
        <f ca="1"/>
        <v>112.2353</v>
      </c>
      <c r="G107" s="1" vm="193">
        <v>45415</v>
      </c>
      <c r="H107" s="3" vm="943">
        <v>113.3437</v>
      </c>
      <c r="I107" s="5">
        <f ca="1">(SGDJPY[[#This Row],[Price]]-OFFSET(SGDJPY[[#This Row],[Price]],-1,0))/OFFSET(SGDJPY[[#This Row],[Price]],-1,0)</f>
        <v>-1.7289546087664133E-4</v>
      </c>
    </row>
    <row r="108" spans="4:9" x14ac:dyDescent="0.35">
      <c r="D108" vm="5">
        <f ca="1"/>
        <v>45505</v>
      </c>
      <c r="E108" vm="1028">
        <f ca="1"/>
        <v>111.7295</v>
      </c>
      <c r="G108" s="1" vm="194">
        <v>45418</v>
      </c>
      <c r="H108" s="3" vm="945">
        <v>113.86709999999999</v>
      </c>
      <c r="I108" s="5">
        <f ca="1">(SGDJPY[[#This Row],[Price]]-OFFSET(SGDJPY[[#This Row],[Price]],-1,0))/OFFSET(SGDJPY[[#This Row],[Price]],-1,0)</f>
        <v>4.6178129000552766E-3</v>
      </c>
    </row>
    <row r="109" spans="4:9" x14ac:dyDescent="0.35">
      <c r="D109" vm="6">
        <f ca="1"/>
        <v>45506</v>
      </c>
      <c r="E109" vm="1029">
        <f ca="1"/>
        <v>110.4379</v>
      </c>
      <c r="G109" s="1" vm="195">
        <v>45419</v>
      </c>
      <c r="H109" s="3" vm="947">
        <v>114.2045</v>
      </c>
      <c r="I109" s="5">
        <f ca="1">(SGDJPY[[#This Row],[Price]]-OFFSET(SGDJPY[[#This Row],[Price]],-1,0))/OFFSET(SGDJPY[[#This Row],[Price]],-1,0)</f>
        <v>2.9631034776507205E-3</v>
      </c>
    </row>
    <row r="110" spans="4:9" x14ac:dyDescent="0.35">
      <c r="D110" vm="7">
        <f ca="1"/>
        <v>45509</v>
      </c>
      <c r="E110" vm="1030">
        <f ca="1"/>
        <v>108.7911</v>
      </c>
      <c r="G110" s="1" vm="196">
        <v>45420</v>
      </c>
      <c r="H110" s="3" vm="949">
        <v>114.6692</v>
      </c>
      <c r="I110" s="5">
        <f ca="1">(SGDJPY[[#This Row],[Price]]-OFFSET(SGDJPY[[#This Row],[Price]],-1,0))/OFFSET(SGDJPY[[#This Row],[Price]],-1,0)</f>
        <v>4.0690165448822738E-3</v>
      </c>
    </row>
    <row r="111" spans="4:9" x14ac:dyDescent="0.35">
      <c r="D111" vm="8">
        <f ca="1"/>
        <v>45510</v>
      </c>
      <c r="E111" vm="1031">
        <f ca="1"/>
        <v>108.84820000000001</v>
      </c>
      <c r="G111" s="1" vm="197">
        <v>45421</v>
      </c>
      <c r="H111" s="3" vm="951">
        <v>114.9087</v>
      </c>
      <c r="I111" s="5">
        <f ca="1">(SGDJPY[[#This Row],[Price]]-OFFSET(SGDJPY[[#This Row],[Price]],-1,0))/OFFSET(SGDJPY[[#This Row],[Price]],-1,0)</f>
        <v>2.0886166468414577E-3</v>
      </c>
    </row>
    <row r="112" spans="4:9" x14ac:dyDescent="0.35">
      <c r="D112" vm="9">
        <f ca="1"/>
        <v>45511</v>
      </c>
      <c r="E112" vm="1032">
        <f ca="1"/>
        <v>110.476</v>
      </c>
      <c r="G112" s="1" vm="198">
        <v>45422</v>
      </c>
      <c r="H112" s="3" vm="953">
        <v>114.9564</v>
      </c>
      <c r="I112" s="5">
        <f ca="1">(SGDJPY[[#This Row],[Price]]-OFFSET(SGDJPY[[#This Row],[Price]],-1,0))/OFFSET(SGDJPY[[#This Row],[Price]],-1,0)</f>
        <v>4.1511217166329505E-4</v>
      </c>
    </row>
    <row r="113" spans="4:9" x14ac:dyDescent="0.35">
      <c r="D113" vm="10">
        <f ca="1"/>
        <v>45512</v>
      </c>
      <c r="E113" vm="1033">
        <f ca="1"/>
        <v>111.08759999999999</v>
      </c>
      <c r="G113" s="1" vm="199">
        <v>45425</v>
      </c>
      <c r="H113" s="3" vm="955">
        <v>115.396</v>
      </c>
      <c r="I113" s="5">
        <f ca="1">(SGDJPY[[#This Row],[Price]]-OFFSET(SGDJPY[[#This Row],[Price]],-1,0))/OFFSET(SGDJPY[[#This Row],[Price]],-1,0)</f>
        <v>3.8240585126186853E-3</v>
      </c>
    </row>
    <row r="114" spans="4:9" x14ac:dyDescent="0.35">
      <c r="D114" vm="11">
        <f ca="1"/>
        <v>45513</v>
      </c>
      <c r="E114" vm="1034">
        <f ca="1"/>
        <v>110.6407</v>
      </c>
      <c r="G114" s="1" vm="200">
        <v>45426</v>
      </c>
      <c r="H114" s="3" vm="957">
        <v>115.6696</v>
      </c>
      <c r="I114" s="5">
        <f ca="1">(SGDJPY[[#This Row],[Price]]-OFFSET(SGDJPY[[#This Row],[Price]],-1,0))/OFFSET(SGDJPY[[#This Row],[Price]],-1,0)</f>
        <v>2.3709660646816341E-3</v>
      </c>
    </row>
    <row r="115" spans="4:9" x14ac:dyDescent="0.35">
      <c r="D115" vm="12">
        <f ca="1"/>
        <v>45516</v>
      </c>
      <c r="E115" vm="1035">
        <f ca="1"/>
        <v>111.0868</v>
      </c>
      <c r="G115" s="1" vm="201">
        <v>45427</v>
      </c>
      <c r="H115" s="3" vm="959">
        <v>115.1279</v>
      </c>
      <c r="I115" s="5">
        <f ca="1">(SGDJPY[[#This Row],[Price]]-OFFSET(SGDJPY[[#This Row],[Price]],-1,0))/OFFSET(SGDJPY[[#This Row],[Price]],-1,0)</f>
        <v>-4.6831665364106545E-3</v>
      </c>
    </row>
    <row r="116" spans="4:9" x14ac:dyDescent="0.35">
      <c r="D116" vm="13">
        <f ca="1"/>
        <v>45517</v>
      </c>
      <c r="E116" vm="1036">
        <f ca="1"/>
        <v>111.3952</v>
      </c>
      <c r="G116" s="1" vm="202">
        <v>45428</v>
      </c>
      <c r="H116" s="3" vm="961">
        <v>115.40519999999999</v>
      </c>
      <c r="I116" s="5">
        <f ca="1">(SGDJPY[[#This Row],[Price]]-OFFSET(SGDJPY[[#This Row],[Price]],-1,0))/OFFSET(SGDJPY[[#This Row],[Price]],-1,0)</f>
        <v>2.4086255373371424E-3</v>
      </c>
    </row>
    <row r="117" spans="4:9" x14ac:dyDescent="0.35">
      <c r="D117" vm="14">
        <f ca="1"/>
        <v>45518</v>
      </c>
      <c r="E117" vm="1037">
        <f ca="1"/>
        <v>111.86969999999999</v>
      </c>
      <c r="G117" s="1" vm="203">
        <v>45429</v>
      </c>
      <c r="H117" s="3" vm="963">
        <v>115.64749999999999</v>
      </c>
      <c r="I117" s="5">
        <f ca="1">(SGDJPY[[#This Row],[Price]]-OFFSET(SGDJPY[[#This Row],[Price]],-1,0))/OFFSET(SGDJPY[[#This Row],[Price]],-1,0)</f>
        <v>2.0995587720484014E-3</v>
      </c>
    </row>
    <row r="118" spans="4:9" x14ac:dyDescent="0.35">
      <c r="D118" vm="15">
        <f ca="1"/>
        <v>45519</v>
      </c>
      <c r="E118" vm="1038">
        <f ca="1"/>
        <v>112.8364</v>
      </c>
      <c r="G118" s="1" vm="204">
        <v>45432</v>
      </c>
      <c r="H118" s="3" vm="965">
        <v>115.9222</v>
      </c>
      <c r="I118" s="5">
        <f ca="1">(SGDJPY[[#This Row],[Price]]-OFFSET(SGDJPY[[#This Row],[Price]],-1,0))/OFFSET(SGDJPY[[#This Row],[Price]],-1,0)</f>
        <v>2.3753215590480549E-3</v>
      </c>
    </row>
    <row r="119" spans="4:9" x14ac:dyDescent="0.35">
      <c r="D119" vm="16">
        <f ca="1"/>
        <v>45520</v>
      </c>
      <c r="E119" vm="1039">
        <f ca="1"/>
        <v>112.1514</v>
      </c>
      <c r="G119" s="1" vm="205">
        <v>45433</v>
      </c>
      <c r="H119" s="3" vm="967">
        <v>115.87269999999999</v>
      </c>
      <c r="I119" s="5">
        <f ca="1">(SGDJPY[[#This Row],[Price]]-OFFSET(SGDJPY[[#This Row],[Price]],-1,0))/OFFSET(SGDJPY[[#This Row],[Price]],-1,0)</f>
        <v>-4.2701052947588107E-4</v>
      </c>
    </row>
    <row r="120" spans="4:9" x14ac:dyDescent="0.35">
      <c r="D120" vm="17">
        <f ca="1"/>
        <v>45523</v>
      </c>
      <c r="E120" vm="1040">
        <f ca="1"/>
        <v>112.0138</v>
      </c>
      <c r="G120" s="1" vm="206">
        <v>45434</v>
      </c>
      <c r="H120" s="3" vm="969">
        <v>116.05719999999999</v>
      </c>
      <c r="I120" s="5">
        <f ca="1">(SGDJPY[[#This Row],[Price]]-OFFSET(SGDJPY[[#This Row],[Price]],-1,0))/OFFSET(SGDJPY[[#This Row],[Price]],-1,0)</f>
        <v>1.5922646145295647E-3</v>
      </c>
    </row>
    <row r="121" spans="4:9" x14ac:dyDescent="0.35">
      <c r="D121" vm="18">
        <f ca="1"/>
        <v>45524</v>
      </c>
      <c r="E121" vm="1041">
        <f ca="1"/>
        <v>111.2856</v>
      </c>
      <c r="G121" s="1" vm="207">
        <v>45435</v>
      </c>
      <c r="H121" s="3" vm="971">
        <v>116.08110000000001</v>
      </c>
      <c r="I121" s="5">
        <f ca="1">(SGDJPY[[#This Row],[Price]]-OFFSET(SGDJPY[[#This Row],[Price]],-1,0))/OFFSET(SGDJPY[[#This Row],[Price]],-1,0)</f>
        <v>2.0593293651761203E-4</v>
      </c>
    </row>
    <row r="122" spans="4:9" x14ac:dyDescent="0.35">
      <c r="D122" vm="19">
        <f ca="1"/>
        <v>45525</v>
      </c>
      <c r="E122" vm="1042">
        <f ca="1"/>
        <v>111.2422</v>
      </c>
      <c r="G122" s="1" vm="208">
        <v>45436</v>
      </c>
      <c r="H122" s="3" vm="973">
        <v>116.2544</v>
      </c>
      <c r="I122" s="5">
        <f ca="1">(SGDJPY[[#This Row],[Price]]-OFFSET(SGDJPY[[#This Row],[Price]],-1,0))/OFFSET(SGDJPY[[#This Row],[Price]],-1,0)</f>
        <v>1.4929217590115666E-3</v>
      </c>
    </row>
    <row r="123" spans="4:9" x14ac:dyDescent="0.35">
      <c r="D123" vm="20">
        <f ca="1"/>
        <v>45526</v>
      </c>
      <c r="E123" vm="1043">
        <f ca="1"/>
        <v>111.5467</v>
      </c>
      <c r="G123" s="1" vm="209">
        <v>45439</v>
      </c>
      <c r="H123" s="3" vm="975">
        <v>116.2012</v>
      </c>
      <c r="I123" s="5">
        <f ca="1">(SGDJPY[[#This Row],[Price]]-OFFSET(SGDJPY[[#This Row],[Price]],-1,0))/OFFSET(SGDJPY[[#This Row],[Price]],-1,0)</f>
        <v>-4.576170880414325E-4</v>
      </c>
    </row>
    <row r="124" spans="4:9" x14ac:dyDescent="0.35">
      <c r="D124" vm="21">
        <f ca="1"/>
        <v>45527</v>
      </c>
      <c r="E124" vm="1044">
        <f ca="1"/>
        <v>110.95140000000001</v>
      </c>
      <c r="G124" s="1" vm="210">
        <v>45440</v>
      </c>
      <c r="H124" s="3" vm="977">
        <v>116.4961</v>
      </c>
      <c r="I124" s="5">
        <f ca="1">(SGDJPY[[#This Row],[Price]]-OFFSET(SGDJPY[[#This Row],[Price]],-1,0))/OFFSET(SGDJPY[[#This Row],[Price]],-1,0)</f>
        <v>2.53783954038339E-3</v>
      </c>
    </row>
    <row r="125" spans="4:9" x14ac:dyDescent="0.35">
      <c r="D125" vm="22">
        <f ca="1"/>
        <v>45530</v>
      </c>
      <c r="E125" vm="1045">
        <f ca="1"/>
        <v>110.8027</v>
      </c>
      <c r="G125" s="1" vm="211">
        <v>45441</v>
      </c>
      <c r="H125" s="3" vm="979">
        <v>116.5718</v>
      </c>
      <c r="I125" s="5">
        <f ca="1">(SGDJPY[[#This Row],[Price]]-OFFSET(SGDJPY[[#This Row],[Price]],-1,0))/OFFSET(SGDJPY[[#This Row],[Price]],-1,0)</f>
        <v>6.4980716092639718E-4</v>
      </c>
    </row>
    <row r="126" spans="4:9" x14ac:dyDescent="0.35">
      <c r="D126" vm="23">
        <f ca="1"/>
        <v>45531</v>
      </c>
      <c r="E126" vm="1046">
        <f ca="1"/>
        <v>110.6032</v>
      </c>
      <c r="G126" s="1" vm="212">
        <v>45442</v>
      </c>
      <c r="H126" s="3" vm="981">
        <v>116.1383</v>
      </c>
      <c r="I126" s="5">
        <f ca="1">(SGDJPY[[#This Row],[Price]]-OFFSET(SGDJPY[[#This Row],[Price]],-1,0))/OFFSET(SGDJPY[[#This Row],[Price]],-1,0)</f>
        <v>-3.7187381510793787E-3</v>
      </c>
    </row>
    <row r="127" spans="4:9" x14ac:dyDescent="0.35">
      <c r="D127" vm="24">
        <f ca="1"/>
        <v>45532</v>
      </c>
      <c r="E127" vm="1047">
        <f ca="1"/>
        <v>110.9083</v>
      </c>
      <c r="G127" s="1" vm="213">
        <v>45443</v>
      </c>
      <c r="H127" s="3" vm="983">
        <v>116.39660000000001</v>
      </c>
      <c r="I127" s="5">
        <f ca="1">(SGDJPY[[#This Row],[Price]]-OFFSET(SGDJPY[[#This Row],[Price]],-1,0))/OFFSET(SGDJPY[[#This Row],[Price]],-1,0)</f>
        <v>2.2240725066580581E-3</v>
      </c>
    </row>
    <row r="128" spans="4:9" x14ac:dyDescent="0.35">
      <c r="D128" vm="25">
        <f ca="1"/>
        <v>45533</v>
      </c>
      <c r="E128" vm="1048">
        <f ca="1"/>
        <v>111.2407</v>
      </c>
      <c r="G128" s="1" vm="214">
        <v>45446</v>
      </c>
      <c r="H128" s="3" vm="985">
        <v>115.9646</v>
      </c>
      <c r="I128" s="5">
        <f ca="1">(SGDJPY[[#This Row],[Price]]-OFFSET(SGDJPY[[#This Row],[Price]],-1,0))/OFFSET(SGDJPY[[#This Row],[Price]],-1,0)</f>
        <v>-3.7114486161967113E-3</v>
      </c>
    </row>
    <row r="129" spans="4:9" x14ac:dyDescent="0.35">
      <c r="D129" vm="26">
        <f ca="1"/>
        <v>45534</v>
      </c>
      <c r="E129" vm="1049">
        <f ca="1"/>
        <v>111.84569999999999</v>
      </c>
      <c r="G129" s="1" vm="215">
        <v>45447</v>
      </c>
      <c r="H129" s="3" vm="986">
        <v>114.974</v>
      </c>
      <c r="I129" s="5">
        <f ca="1">(SGDJPY[[#This Row],[Price]]-OFFSET(SGDJPY[[#This Row],[Price]],-1,0))/OFFSET(SGDJPY[[#This Row],[Price]],-1,0)</f>
        <v>-8.5422620351383143E-3</v>
      </c>
    </row>
    <row r="130" spans="4:9" x14ac:dyDescent="0.35">
      <c r="D130" vm="27">
        <f ca="1"/>
        <v>45537</v>
      </c>
      <c r="E130" vm="1050">
        <f ca="1"/>
        <v>112.369</v>
      </c>
      <c r="G130" s="1" vm="216">
        <v>45448</v>
      </c>
      <c r="H130" s="3" vm="987">
        <v>115.7153</v>
      </c>
      <c r="I130" s="5">
        <f ca="1">(SGDJPY[[#This Row],[Price]]-OFFSET(SGDJPY[[#This Row],[Price]],-1,0))/OFFSET(SGDJPY[[#This Row],[Price]],-1,0)</f>
        <v>6.4475446622714299E-3</v>
      </c>
    </row>
    <row r="131" spans="4:9" x14ac:dyDescent="0.35">
      <c r="D131" vm="28">
        <f ca="1"/>
        <v>45538</v>
      </c>
      <c r="E131" vm="1051">
        <f ca="1"/>
        <v>111.2837</v>
      </c>
      <c r="G131" s="1" vm="217">
        <v>45449</v>
      </c>
      <c r="H131" s="3" vm="988">
        <v>115.6018</v>
      </c>
      <c r="I131" s="5">
        <f ca="1">(SGDJPY[[#This Row],[Price]]-OFFSET(SGDJPY[[#This Row],[Price]],-1,0))/OFFSET(SGDJPY[[#This Row],[Price]],-1,0)</f>
        <v>-9.8085559990772125E-4</v>
      </c>
    </row>
    <row r="132" spans="4:9" x14ac:dyDescent="0.35">
      <c r="D132" vm="29">
        <f ca="1"/>
        <v>45539</v>
      </c>
      <c r="E132" vm="1052">
        <f ca="1"/>
        <v>110.2055</v>
      </c>
      <c r="G132" s="1" vm="218">
        <v>45450</v>
      </c>
      <c r="H132" s="3" vm="989">
        <v>115.9024</v>
      </c>
      <c r="I132" s="5">
        <f ca="1">(SGDJPY[[#This Row],[Price]]-OFFSET(SGDJPY[[#This Row],[Price]],-1,0))/OFFSET(SGDJPY[[#This Row],[Price]],-1,0)</f>
        <v>2.6003055315747927E-3</v>
      </c>
    </row>
    <row r="133" spans="4:9" x14ac:dyDescent="0.35">
      <c r="D133" vm="30">
        <f ca="1"/>
        <v>45540</v>
      </c>
      <c r="E133" vm="1053">
        <f ca="1"/>
        <v>110.33</v>
      </c>
      <c r="G133" s="1" vm="219">
        <v>45453</v>
      </c>
      <c r="H133" s="3" vm="990">
        <v>116.07040000000001</v>
      </c>
      <c r="I133" s="5">
        <f ca="1">(SGDJPY[[#This Row],[Price]]-OFFSET(SGDJPY[[#This Row],[Price]],-1,0))/OFFSET(SGDJPY[[#This Row],[Price]],-1,0)</f>
        <v>1.4494954375406063E-3</v>
      </c>
    </row>
    <row r="134" spans="4:9" x14ac:dyDescent="0.35">
      <c r="D134" vm="31">
        <f ca="1"/>
        <v>45541</v>
      </c>
      <c r="E134" vm="1054">
        <f ca="1"/>
        <v>109.2116</v>
      </c>
      <c r="G134" s="1" vm="220">
        <v>45454</v>
      </c>
      <c r="H134" s="3" vm="991">
        <v>116.08159999999999</v>
      </c>
      <c r="I134" s="5">
        <f ca="1">(SGDJPY[[#This Row],[Price]]-OFFSET(SGDJPY[[#This Row],[Price]],-1,0))/OFFSET(SGDJPY[[#This Row],[Price]],-1,0)</f>
        <v>9.6493162770078394E-5</v>
      </c>
    </row>
    <row r="135" spans="4:9" x14ac:dyDescent="0.35">
      <c r="D135" vm="32">
        <f ca="1"/>
        <v>45544</v>
      </c>
      <c r="E135" vm="1055">
        <f ca="1"/>
        <v>109.6416</v>
      </c>
      <c r="G135" s="1" vm="221">
        <v>45455</v>
      </c>
      <c r="H135" s="3" vm="992">
        <v>116.3141</v>
      </c>
      <c r="I135" s="5">
        <f ca="1">(SGDJPY[[#This Row],[Price]]-OFFSET(SGDJPY[[#This Row],[Price]],-1,0))/OFFSET(SGDJPY[[#This Row],[Price]],-1,0)</f>
        <v>2.0029014072859238E-3</v>
      </c>
    </row>
    <row r="136" spans="4:9" x14ac:dyDescent="0.35">
      <c r="D136" vm="33">
        <f ca="1"/>
        <v>45545</v>
      </c>
      <c r="E136" vm="1056">
        <f ca="1"/>
        <v>109.1585</v>
      </c>
      <c r="G136" s="1" vm="222">
        <v>45456</v>
      </c>
      <c r="H136" s="3" vm="993">
        <v>116.21639999999999</v>
      </c>
      <c r="I136" s="5">
        <f ca="1">(SGDJPY[[#This Row],[Price]]-OFFSET(SGDJPY[[#This Row],[Price]],-1,0))/OFFSET(SGDJPY[[#This Row],[Price]],-1,0)</f>
        <v>-8.3996695155620193E-4</v>
      </c>
    </row>
    <row r="137" spans="4:9" x14ac:dyDescent="0.35">
      <c r="D137" vm="34">
        <f ca="1"/>
        <v>45546</v>
      </c>
      <c r="E137" vm="1057">
        <f ca="1"/>
        <v>109.155</v>
      </c>
      <c r="G137" s="1" vm="223">
        <v>45457</v>
      </c>
      <c r="H137" s="3" vm="994">
        <v>116.2861</v>
      </c>
      <c r="I137" s="5">
        <f ca="1">(SGDJPY[[#This Row],[Price]]-OFFSET(SGDJPY[[#This Row],[Price]],-1,0))/OFFSET(SGDJPY[[#This Row],[Price]],-1,0)</f>
        <v>5.9974323761544535E-4</v>
      </c>
    </row>
    <row r="138" spans="4:9" x14ac:dyDescent="0.35">
      <c r="D138" vm="35">
        <f ca="1"/>
        <v>45547</v>
      </c>
      <c r="E138" vm="1058">
        <f ca="1"/>
        <v>108.95189999999999</v>
      </c>
      <c r="G138" s="1" vm="224">
        <v>45460</v>
      </c>
      <c r="H138" s="3" vm="995">
        <v>116.6322</v>
      </c>
      <c r="I138" s="5">
        <f ca="1">(SGDJPY[[#This Row],[Price]]-OFFSET(SGDJPY[[#This Row],[Price]],-1,0))/OFFSET(SGDJPY[[#This Row],[Price]],-1,0)</f>
        <v>2.9762800541078662E-3</v>
      </c>
    </row>
    <row r="139" spans="4:9" x14ac:dyDescent="0.35">
      <c r="D139" vm="36">
        <f ca="1"/>
        <v>45548</v>
      </c>
      <c r="E139" vm="1059">
        <f ca="1"/>
        <v>108.49</v>
      </c>
      <c r="G139" s="1" vm="225">
        <v>45461</v>
      </c>
      <c r="H139" s="3" vm="996">
        <v>116.8394</v>
      </c>
      <c r="I139" s="5">
        <f ca="1">(SGDJPY[[#This Row],[Price]]-OFFSET(SGDJPY[[#This Row],[Price]],-1,0))/OFFSET(SGDJPY[[#This Row],[Price]],-1,0)</f>
        <v>1.7765248361944668E-3</v>
      </c>
    </row>
    <row r="140" spans="4:9" x14ac:dyDescent="0.35">
      <c r="D140" vm="37">
        <f ca="1"/>
        <v>45551</v>
      </c>
      <c r="E140" vm="1060">
        <f ca="1"/>
        <v>108.5463</v>
      </c>
      <c r="G140" s="1" vm="226">
        <v>45462</v>
      </c>
      <c r="H140" s="3" vm="997">
        <v>117.0183</v>
      </c>
      <c r="I140" s="5">
        <f ca="1">(SGDJPY[[#This Row],[Price]]-OFFSET(SGDJPY[[#This Row],[Price]],-1,0))/OFFSET(SGDJPY[[#This Row],[Price]],-1,0)</f>
        <v>1.5311615773446177E-3</v>
      </c>
    </row>
    <row r="141" spans="4:9" x14ac:dyDescent="0.35">
      <c r="D141" vm="38">
        <f ca="1"/>
        <v>45552</v>
      </c>
      <c r="E141" vm="1061">
        <f ca="1"/>
        <v>109.79179999999999</v>
      </c>
      <c r="G141" s="1" vm="227">
        <v>45463</v>
      </c>
      <c r="H141" s="3" vm="998">
        <v>117.31270000000001</v>
      </c>
      <c r="I141" s="5">
        <f ca="1">(SGDJPY[[#This Row],[Price]]-OFFSET(SGDJPY[[#This Row],[Price]],-1,0))/OFFSET(SGDJPY[[#This Row],[Price]],-1,0)</f>
        <v>2.5158458121508362E-3</v>
      </c>
    </row>
    <row r="142" spans="4:9" x14ac:dyDescent="0.35">
      <c r="D142" vm="39">
        <f ca="1"/>
        <v>45553</v>
      </c>
      <c r="E142" vm="1062">
        <f ca="1"/>
        <v>109.8271</v>
      </c>
      <c r="G142" s="1" vm="228">
        <v>45464</v>
      </c>
      <c r="H142" s="3" vm="999">
        <v>117.8827</v>
      </c>
      <c r="I142" s="5">
        <f ca="1">(SGDJPY[[#This Row],[Price]]-OFFSET(SGDJPY[[#This Row],[Price]],-1,0))/OFFSET(SGDJPY[[#This Row],[Price]],-1,0)</f>
        <v>4.858808978056026E-3</v>
      </c>
    </row>
    <row r="143" spans="4:9" x14ac:dyDescent="0.35">
      <c r="D143" vm="40">
        <f ca="1"/>
        <v>45554</v>
      </c>
      <c r="E143" vm="1063">
        <f ca="1"/>
        <v>110.3536</v>
      </c>
      <c r="G143" s="1" vm="229">
        <v>45467</v>
      </c>
      <c r="H143" s="3" vm="1000">
        <v>117.9614</v>
      </c>
      <c r="I143" s="5">
        <f ca="1">(SGDJPY[[#This Row],[Price]]-OFFSET(SGDJPY[[#This Row],[Price]],-1,0))/OFFSET(SGDJPY[[#This Row],[Price]],-1,0)</f>
        <v>6.6761280493234185E-4</v>
      </c>
    </row>
    <row r="144" spans="4:9" x14ac:dyDescent="0.35">
      <c r="D144" vm="41">
        <f ca="1"/>
        <v>45555</v>
      </c>
      <c r="E144" vm="1064">
        <f ca="1"/>
        <v>111.4199</v>
      </c>
      <c r="G144" s="1" vm="230">
        <v>45468</v>
      </c>
      <c r="H144" s="3" vm="1001">
        <v>117.86109999999999</v>
      </c>
      <c r="I144" s="5">
        <f ca="1">(SGDJPY[[#This Row],[Price]]-OFFSET(SGDJPY[[#This Row],[Price]],-1,0))/OFFSET(SGDJPY[[#This Row],[Price]],-1,0)</f>
        <v>-8.5027814183287313E-4</v>
      </c>
    </row>
    <row r="145" spans="4:9" x14ac:dyDescent="0.35">
      <c r="D145" vm="42">
        <f ca="1"/>
        <v>45558</v>
      </c>
      <c r="E145" vm="1065">
        <f ca="1"/>
        <v>111.2402</v>
      </c>
      <c r="G145" s="1" vm="231">
        <v>45469</v>
      </c>
      <c r="H145" s="3" vm="1002">
        <v>118.3411</v>
      </c>
      <c r="I145" s="5">
        <f ca="1">(SGDJPY[[#This Row],[Price]]-OFFSET(SGDJPY[[#This Row],[Price]],-1,0))/OFFSET(SGDJPY[[#This Row],[Price]],-1,0)</f>
        <v>4.0725905324148848E-3</v>
      </c>
    </row>
    <row r="146" spans="4:9" x14ac:dyDescent="0.35">
      <c r="D146" vm="43">
        <f ca="1"/>
        <v>45559</v>
      </c>
      <c r="E146" vm="1066">
        <f ca="1"/>
        <v>111.5681</v>
      </c>
      <c r="G146" s="1" vm="232">
        <v>45470</v>
      </c>
      <c r="H146" s="3" vm="1003">
        <v>118.29559999999999</v>
      </c>
      <c r="I146" s="5">
        <f ca="1">(SGDJPY[[#This Row],[Price]]-OFFSET(SGDJPY[[#This Row],[Price]],-1,0))/OFFSET(SGDJPY[[#This Row],[Price]],-1,0)</f>
        <v>-3.8448180725043197E-4</v>
      </c>
    </row>
    <row r="147" spans="4:9" x14ac:dyDescent="0.35">
      <c r="D147" vm="44">
        <f ca="1"/>
        <v>45560</v>
      </c>
      <c r="E147" vm="1067">
        <f ca="1"/>
        <v>112.17449999999999</v>
      </c>
      <c r="G147" s="1" vm="233">
        <v>45471</v>
      </c>
      <c r="H147" s="3" vm="1004">
        <v>118.5625</v>
      </c>
      <c r="I147" s="5">
        <f ca="1">(SGDJPY[[#This Row],[Price]]-OFFSET(SGDJPY[[#This Row],[Price]],-1,0))/OFFSET(SGDJPY[[#This Row],[Price]],-1,0)</f>
        <v>2.256212403504499E-3</v>
      </c>
    </row>
    <row r="148" spans="4:9" x14ac:dyDescent="0.35">
      <c r="D148" vm="45">
        <f ca="1"/>
        <v>45561</v>
      </c>
      <c r="E148" vm="1068">
        <f ca="1"/>
        <v>112.83410000000001</v>
      </c>
      <c r="G148" s="1" vm="234">
        <v>45474</v>
      </c>
      <c r="H148" s="3" vm="1005">
        <v>118.8706</v>
      </c>
      <c r="I148" s="5">
        <f ca="1">(SGDJPY[[#This Row],[Price]]-OFFSET(SGDJPY[[#This Row],[Price]],-1,0))/OFFSET(SGDJPY[[#This Row],[Price]],-1,0)</f>
        <v>2.5986294148655437E-3</v>
      </c>
    </row>
    <row r="149" spans="4:9" x14ac:dyDescent="0.35">
      <c r="D149" vm="46">
        <f ca="1"/>
        <v>45562</v>
      </c>
      <c r="E149" vm="1069">
        <f ca="1"/>
        <v>110.93859999999999</v>
      </c>
      <c r="G149" s="1" vm="235">
        <v>45475</v>
      </c>
      <c r="H149" s="3" vm="1006">
        <v>119.0385</v>
      </c>
      <c r="I149" s="5">
        <f ca="1">(SGDJPY[[#This Row],[Price]]-OFFSET(SGDJPY[[#This Row],[Price]],-1,0))/OFFSET(SGDJPY[[#This Row],[Price]],-1,0)</f>
        <v>1.4124602719259687E-3</v>
      </c>
    </row>
    <row r="150" spans="4:9" x14ac:dyDescent="0.35">
      <c r="D150" vm="47">
        <f ca="1"/>
        <v>45565</v>
      </c>
      <c r="E150" vm="1070">
        <f ca="1"/>
        <v>111.74039999999999</v>
      </c>
      <c r="G150" s="1" vm="236">
        <v>45476</v>
      </c>
      <c r="H150" s="3" vm="1007">
        <v>119.4003</v>
      </c>
      <c r="I150" s="5">
        <f ca="1">(SGDJPY[[#This Row],[Price]]-OFFSET(SGDJPY[[#This Row],[Price]],-1,0))/OFFSET(SGDJPY[[#This Row],[Price]],-1,0)</f>
        <v>3.0393528144256046E-3</v>
      </c>
    </row>
    <row r="151" spans="4:9" x14ac:dyDescent="0.35">
      <c r="D151" vm="48">
        <f ca="1"/>
        <v>45566</v>
      </c>
      <c r="E151" vm="1071">
        <f ca="1"/>
        <v>111.4423</v>
      </c>
      <c r="G151" s="1" vm="237">
        <v>45477</v>
      </c>
      <c r="H151" s="3" vm="1008">
        <v>119.2413</v>
      </c>
      <c r="I151" s="5">
        <f ca="1">(SGDJPY[[#This Row],[Price]]-OFFSET(SGDJPY[[#This Row],[Price]],-1,0))/OFFSET(SGDJPY[[#This Row],[Price]],-1,0)</f>
        <v>-1.3316549455906395E-3</v>
      </c>
    </row>
    <row r="152" spans="4:9" x14ac:dyDescent="0.35">
      <c r="D152" vm="49">
        <f ca="1"/>
        <v>45567</v>
      </c>
      <c r="E152" vm="1072">
        <f ca="1"/>
        <v>113.35039999999999</v>
      </c>
      <c r="G152" s="1" vm="238">
        <v>45478</v>
      </c>
      <c r="H152" s="3" vm="1009">
        <v>119.15779999999999</v>
      </c>
      <c r="I152" s="5">
        <f ca="1">(SGDJPY[[#This Row],[Price]]-OFFSET(SGDJPY[[#This Row],[Price]],-1,0))/OFFSET(SGDJPY[[#This Row],[Price]],-1,0)</f>
        <v>-7.0026073181021005E-4</v>
      </c>
    </row>
    <row r="153" spans="4:9" x14ac:dyDescent="0.35">
      <c r="D153" vm="50">
        <f ca="1"/>
        <v>45568</v>
      </c>
      <c r="E153" vm="1073">
        <f ca="1"/>
        <v>113.19929999999999</v>
      </c>
      <c r="G153" s="1" vm="239">
        <v>45481</v>
      </c>
      <c r="H153" s="3" vm="1010">
        <v>119.1185</v>
      </c>
      <c r="I153" s="5">
        <f ca="1">(SGDJPY[[#This Row],[Price]]-OFFSET(SGDJPY[[#This Row],[Price]],-1,0))/OFFSET(SGDJPY[[#This Row],[Price]],-1,0)</f>
        <v>-3.2981474985269306E-4</v>
      </c>
    </row>
    <row r="154" spans="4:9" x14ac:dyDescent="0.35">
      <c r="D154" vm="51">
        <f ca="1"/>
        <v>45569</v>
      </c>
      <c r="E154" vm="1074">
        <f ca="1"/>
        <v>113.9628</v>
      </c>
      <c r="G154" s="1" vm="240">
        <v>45482</v>
      </c>
      <c r="H154" s="3" vm="1011">
        <v>119.4004</v>
      </c>
      <c r="I154" s="5">
        <f ca="1">(SGDJPY[[#This Row],[Price]]-OFFSET(SGDJPY[[#This Row],[Price]],-1,0))/OFFSET(SGDJPY[[#This Row],[Price]],-1,0)</f>
        <v>2.3665509555611209E-3</v>
      </c>
    </row>
    <row r="155" spans="4:9" x14ac:dyDescent="0.35">
      <c r="D155" vm="52">
        <f ca="1"/>
        <v>45572</v>
      </c>
      <c r="E155" vm="1075">
        <f ca="1"/>
        <v>113.6088</v>
      </c>
      <c r="G155" s="1" vm="241">
        <v>45483</v>
      </c>
      <c r="H155" s="3" vm="1012">
        <v>119.8532</v>
      </c>
      <c r="I155" s="5">
        <f ca="1">(SGDJPY[[#This Row],[Price]]-OFFSET(SGDJPY[[#This Row],[Price]],-1,0))/OFFSET(SGDJPY[[#This Row],[Price]],-1,0)</f>
        <v>3.7922821029074969E-3</v>
      </c>
    </row>
    <row r="156" spans="4:9" x14ac:dyDescent="0.35">
      <c r="D156" vm="53">
        <f ca="1"/>
        <v>45573</v>
      </c>
      <c r="E156" vm="1076">
        <f ca="1"/>
        <v>113.6426</v>
      </c>
      <c r="G156" s="1" vm="242">
        <v>45484</v>
      </c>
      <c r="H156" s="3" vm="1013">
        <v>118.2353</v>
      </c>
      <c r="I156" s="5">
        <f ca="1">(SGDJPY[[#This Row],[Price]]-OFFSET(SGDJPY[[#This Row],[Price]],-1,0))/OFFSET(SGDJPY[[#This Row],[Price]],-1,0)</f>
        <v>-1.3499013793540814E-2</v>
      </c>
    </row>
    <row r="157" spans="4:9" x14ac:dyDescent="0.35">
      <c r="D157" vm="54">
        <f ca="1"/>
        <v>45574</v>
      </c>
      <c r="E157" vm="1077">
        <f ca="1"/>
        <v>114.1972</v>
      </c>
      <c r="G157" s="1" vm="243">
        <v>45485</v>
      </c>
      <c r="H157" s="3" vm="1014">
        <v>117.7317</v>
      </c>
      <c r="I157" s="5">
        <f ca="1">(SGDJPY[[#This Row],[Price]]-OFFSET(SGDJPY[[#This Row],[Price]],-1,0))/OFFSET(SGDJPY[[#This Row],[Price]],-1,0)</f>
        <v>-4.2593032706813583E-3</v>
      </c>
    </row>
    <row r="158" spans="4:9" x14ac:dyDescent="0.35">
      <c r="D158" vm="55">
        <f ca="1"/>
        <v>45575</v>
      </c>
      <c r="E158" vm="1078">
        <f ca="1"/>
        <v>113.77809999999999</v>
      </c>
      <c r="G158" s="1" vm="244">
        <v>45488</v>
      </c>
      <c r="H158" s="3" vm="1015">
        <v>117.58450000000001</v>
      </c>
      <c r="I158" s="5">
        <f ca="1">(SGDJPY[[#This Row],[Price]]-OFFSET(SGDJPY[[#This Row],[Price]],-1,0))/OFFSET(SGDJPY[[#This Row],[Price]],-1,0)</f>
        <v>-1.2503004713258876E-3</v>
      </c>
    </row>
    <row r="159" spans="4:9" x14ac:dyDescent="0.35">
      <c r="D159" vm="56">
        <f ca="1"/>
        <v>45576</v>
      </c>
      <c r="E159" vm="1079">
        <f ca="1"/>
        <v>114.27589999999999</v>
      </c>
      <c r="G159" s="1" vm="245">
        <v>45489</v>
      </c>
      <c r="H159" s="3" vm="1016">
        <v>117.7774</v>
      </c>
      <c r="I159" s="5">
        <f ca="1">(SGDJPY[[#This Row],[Price]]-OFFSET(SGDJPY[[#This Row],[Price]],-1,0))/OFFSET(SGDJPY[[#This Row],[Price]],-1,0)</f>
        <v>1.6405223477583739E-3</v>
      </c>
    </row>
    <row r="160" spans="4:9" x14ac:dyDescent="0.35">
      <c r="D160" vm="57">
        <f ca="1"/>
        <v>45579</v>
      </c>
      <c r="E160" vm="1080">
        <f ca="1"/>
        <v>114.444</v>
      </c>
      <c r="G160" s="1" vm="246">
        <v>45490</v>
      </c>
      <c r="H160" s="3" vm="1017">
        <v>116.42440000000001</v>
      </c>
      <c r="I160" s="5">
        <f ca="1">(SGDJPY[[#This Row],[Price]]-OFFSET(SGDJPY[[#This Row],[Price]],-1,0))/OFFSET(SGDJPY[[#This Row],[Price]],-1,0)</f>
        <v>-1.1487772696629357E-2</v>
      </c>
    </row>
    <row r="161" spans="4:9" x14ac:dyDescent="0.35">
      <c r="D161" vm="58">
        <f ca="1"/>
        <v>45580</v>
      </c>
      <c r="E161" vm="1081">
        <f ca="1"/>
        <v>113.929</v>
      </c>
      <c r="G161" s="1" vm="247">
        <v>45491</v>
      </c>
      <c r="H161" s="3" vm="1018">
        <v>117.0659</v>
      </c>
      <c r="I161" s="5">
        <f ca="1">(SGDJPY[[#This Row],[Price]]-OFFSET(SGDJPY[[#This Row],[Price]],-1,0))/OFFSET(SGDJPY[[#This Row],[Price]],-1,0)</f>
        <v>5.5100133648959626E-3</v>
      </c>
    </row>
    <row r="162" spans="4:9" x14ac:dyDescent="0.35">
      <c r="D162" vm="59">
        <f ca="1"/>
        <v>45581</v>
      </c>
      <c r="E162" vm="1082">
        <f ca="1"/>
        <v>113.9267</v>
      </c>
      <c r="G162" s="1" vm="248">
        <v>45492</v>
      </c>
      <c r="H162" s="3" vm="1019">
        <v>117.0146</v>
      </c>
      <c r="I162" s="5">
        <f ca="1">(SGDJPY[[#This Row],[Price]]-OFFSET(SGDJPY[[#This Row],[Price]],-1,0))/OFFSET(SGDJPY[[#This Row],[Price]],-1,0)</f>
        <v>-4.3821471495967385E-4</v>
      </c>
    </row>
    <row r="163" spans="4:9" x14ac:dyDescent="0.35">
      <c r="D163" vm="60">
        <f ca="1"/>
        <v>45582</v>
      </c>
      <c r="E163" vm="1083">
        <f ca="1"/>
        <v>114.25530000000001</v>
      </c>
      <c r="G163" s="1" vm="249">
        <v>45495</v>
      </c>
      <c r="H163" s="3" vm="1020">
        <v>116.64190000000001</v>
      </c>
      <c r="I163" s="5">
        <f ca="1">(SGDJPY[[#This Row],[Price]]-OFFSET(SGDJPY[[#This Row],[Price]],-1,0))/OFFSET(SGDJPY[[#This Row],[Price]],-1,0)</f>
        <v>-3.18507263196212E-3</v>
      </c>
    </row>
    <row r="164" spans="4:9" x14ac:dyDescent="0.35">
      <c r="D164" vm="61">
        <f ca="1"/>
        <v>45583</v>
      </c>
      <c r="E164" vm="1084">
        <f ca="1"/>
        <v>114.0939</v>
      </c>
      <c r="G164" s="1" vm="250">
        <v>45496</v>
      </c>
      <c r="H164" s="3" vm="1021">
        <v>115.6127</v>
      </c>
      <c r="I164" s="5">
        <f ca="1">(SGDJPY[[#This Row],[Price]]-OFFSET(SGDJPY[[#This Row],[Price]],-1,0))/OFFSET(SGDJPY[[#This Row],[Price]],-1,0)</f>
        <v>-8.8235874072696251E-3</v>
      </c>
    </row>
    <row r="165" spans="4:9" x14ac:dyDescent="0.35">
      <c r="D165" vm="62">
        <f ca="1"/>
        <v>45586</v>
      </c>
      <c r="E165" vm="1085">
        <f ca="1"/>
        <v>114.5776</v>
      </c>
      <c r="G165" s="1" vm="251">
        <v>45497</v>
      </c>
      <c r="H165" s="3" vm="1022">
        <v>114.5356</v>
      </c>
      <c r="I165" s="5">
        <f ca="1">(SGDJPY[[#This Row],[Price]]-OFFSET(SGDJPY[[#This Row],[Price]],-1,0))/OFFSET(SGDJPY[[#This Row],[Price]],-1,0)</f>
        <v>-9.3164505283589213E-3</v>
      </c>
    </row>
    <row r="166" spans="4:9" x14ac:dyDescent="0.35">
      <c r="D166" vm="63">
        <f ca="1"/>
        <v>45587</v>
      </c>
      <c r="E166" vm="1086">
        <f ca="1"/>
        <v>114.7349</v>
      </c>
      <c r="G166" s="1" vm="252">
        <v>45498</v>
      </c>
      <c r="H166" s="3" vm="1023">
        <v>114.58240000000001</v>
      </c>
      <c r="I166" s="5">
        <f ca="1">(SGDJPY[[#This Row],[Price]]-OFFSET(SGDJPY[[#This Row],[Price]],-1,0))/OFFSET(SGDJPY[[#This Row],[Price]],-1,0)</f>
        <v>4.0860658170913333E-4</v>
      </c>
    </row>
    <row r="167" spans="4:9" x14ac:dyDescent="0.35">
      <c r="D167" vm="64">
        <f ca="1"/>
        <v>45588</v>
      </c>
      <c r="E167" vm="1087">
        <f ca="1"/>
        <v>115.43980000000001</v>
      </c>
      <c r="G167" s="1" vm="1">
        <v>45499</v>
      </c>
      <c r="H167" s="3" vm="1024">
        <v>114.4772</v>
      </c>
      <c r="I167" s="5">
        <f ca="1">(SGDJPY[[#This Row],[Price]]-OFFSET(SGDJPY[[#This Row],[Price]],-1,0))/OFFSET(SGDJPY[[#This Row],[Price]],-1,0)</f>
        <v>-9.1811656938596683E-4</v>
      </c>
    </row>
    <row r="168" spans="4:9" x14ac:dyDescent="0.35">
      <c r="D168" vm="65">
        <f ca="1"/>
        <v>45589</v>
      </c>
      <c r="E168" vm="1088">
        <f ca="1"/>
        <v>115.1722</v>
      </c>
      <c r="G168" s="1" vm="2">
        <v>45502</v>
      </c>
      <c r="H168" s="3" vm="1025">
        <v>114.63339999999999</v>
      </c>
      <c r="I168" s="5">
        <f ca="1">(SGDJPY[[#This Row],[Price]]-OFFSET(SGDJPY[[#This Row],[Price]],-1,0))/OFFSET(SGDJPY[[#This Row],[Price]],-1,0)</f>
        <v>1.3644638408346671E-3</v>
      </c>
    </row>
    <row r="169" spans="4:9" x14ac:dyDescent="0.35">
      <c r="D169" vm="66">
        <f ca="1"/>
        <v>45590</v>
      </c>
      <c r="E169" vm="1089">
        <f ca="1"/>
        <v>115.21299999999999</v>
      </c>
      <c r="G169" s="1" vm="3">
        <v>45503</v>
      </c>
      <c r="H169" s="3" vm="1026">
        <v>113.7962</v>
      </c>
      <c r="I169" s="5">
        <f ca="1">(SGDJPY[[#This Row],[Price]]-OFFSET(SGDJPY[[#This Row],[Price]],-1,0))/OFFSET(SGDJPY[[#This Row],[Price]],-1,0)</f>
        <v>-7.3032815915779845E-3</v>
      </c>
    </row>
    <row r="170" spans="4:9" x14ac:dyDescent="0.35">
      <c r="D170" vm="67">
        <f ca="1"/>
        <v>45593</v>
      </c>
      <c r="E170" vm="1090">
        <f ca="1"/>
        <v>115.8579</v>
      </c>
      <c r="G170" s="1" vm="4">
        <v>45504</v>
      </c>
      <c r="H170" s="3" vm="1027">
        <v>112.2353</v>
      </c>
      <c r="I170" s="5">
        <f ca="1">(SGDJPY[[#This Row],[Price]]-OFFSET(SGDJPY[[#This Row],[Price]],-1,0))/OFFSET(SGDJPY[[#This Row],[Price]],-1,0)</f>
        <v>-1.3716626741490523E-2</v>
      </c>
    </row>
    <row r="171" spans="4:9" x14ac:dyDescent="0.35">
      <c r="D171" vm="68">
        <f ca="1"/>
        <v>45594</v>
      </c>
      <c r="E171" vm="1091">
        <f ca="1"/>
        <v>115.77079999999999</v>
      </c>
      <c r="G171" s="1" vm="5">
        <v>45505</v>
      </c>
      <c r="H171" s="3" vm="1028">
        <v>111.7295</v>
      </c>
      <c r="I171" s="5">
        <f ca="1">(SGDJPY[[#This Row],[Price]]-OFFSET(SGDJPY[[#This Row],[Price]],-1,0))/OFFSET(SGDJPY[[#This Row],[Price]],-1,0)</f>
        <v>-4.5066035373896949E-3</v>
      </c>
    </row>
    <row r="172" spans="4:9" x14ac:dyDescent="0.35">
      <c r="D172" vm="69">
        <f ca="1"/>
        <v>45595</v>
      </c>
      <c r="E172" vm="1092">
        <f ca="1"/>
        <v>116.0076</v>
      </c>
      <c r="G172" s="1" vm="6">
        <v>45506</v>
      </c>
      <c r="H172" s="3" vm="1029">
        <v>110.4379</v>
      </c>
      <c r="I172" s="5">
        <f ca="1">(SGDJPY[[#This Row],[Price]]-OFFSET(SGDJPY[[#This Row],[Price]],-1,0))/OFFSET(SGDJPY[[#This Row],[Price]],-1,0)</f>
        <v>-1.1560062472310379E-2</v>
      </c>
    </row>
    <row r="173" spans="4:9" x14ac:dyDescent="0.35">
      <c r="D173" vm="70">
        <f ca="1"/>
        <v>45596</v>
      </c>
      <c r="E173" vm="1093">
        <f ca="1"/>
        <v>115.1568</v>
      </c>
      <c r="G173" s="1" vm="7">
        <v>45509</v>
      </c>
      <c r="H173" s="3" vm="1030">
        <v>108.7911</v>
      </c>
      <c r="I173" s="5">
        <f ca="1">(SGDJPY[[#This Row],[Price]]-OFFSET(SGDJPY[[#This Row],[Price]],-1,0))/OFFSET(SGDJPY[[#This Row],[Price]],-1,0)</f>
        <v>-1.4911547575605829E-2</v>
      </c>
    </row>
    <row r="174" spans="4:9" x14ac:dyDescent="0.35">
      <c r="D174" vm="71">
        <f ca="1"/>
        <v>45597</v>
      </c>
      <c r="E174" vm="1094">
        <f ca="1"/>
        <v>115.31740000000001</v>
      </c>
      <c r="G174" s="1" vm="8">
        <v>45510</v>
      </c>
      <c r="H174" s="3" vm="1031">
        <v>108.84820000000001</v>
      </c>
      <c r="I174" s="5">
        <f ca="1">(SGDJPY[[#This Row],[Price]]-OFFSET(SGDJPY[[#This Row],[Price]],-1,0))/OFFSET(SGDJPY[[#This Row],[Price]],-1,0)</f>
        <v>5.2485911071774695E-4</v>
      </c>
    </row>
    <row r="175" spans="4:9" x14ac:dyDescent="0.35">
      <c r="D175" vm="72">
        <f ca="1"/>
        <v>45600</v>
      </c>
      <c r="E175" vm="1095">
        <f ca="1"/>
        <v>115.2587</v>
      </c>
      <c r="G175" s="1" vm="9">
        <v>45511</v>
      </c>
      <c r="H175" s="3" vm="1032">
        <v>110.476</v>
      </c>
      <c r="I175" s="5">
        <f ca="1">(SGDJPY[[#This Row],[Price]]-OFFSET(SGDJPY[[#This Row],[Price]],-1,0))/OFFSET(SGDJPY[[#This Row],[Price]],-1,0)</f>
        <v>1.4954771874959746E-2</v>
      </c>
    </row>
    <row r="176" spans="4:9" x14ac:dyDescent="0.35">
      <c r="D176" vm="73">
        <f ca="1"/>
        <v>45601</v>
      </c>
      <c r="E176" vm="1096">
        <f ca="1"/>
        <v>115.31910000000001</v>
      </c>
      <c r="G176" s="1" vm="10">
        <v>45512</v>
      </c>
      <c r="H176" s="3" vm="1033">
        <v>111.08759999999999</v>
      </c>
      <c r="I176" s="5">
        <f ca="1">(SGDJPY[[#This Row],[Price]]-OFFSET(SGDJPY[[#This Row],[Price]],-1,0))/OFFSET(SGDJPY[[#This Row],[Price]],-1,0)</f>
        <v>5.5360440276620779E-3</v>
      </c>
    </row>
    <row r="177" spans="4:9" x14ac:dyDescent="0.35">
      <c r="D177" vm="74">
        <f ca="1"/>
        <v>45602</v>
      </c>
      <c r="E177" vm="1097">
        <f ca="1"/>
        <v>115.9406</v>
      </c>
      <c r="G177" s="1" vm="11">
        <v>45513</v>
      </c>
      <c r="H177" s="3" vm="1034">
        <v>110.6407</v>
      </c>
      <c r="I177" s="5">
        <f ca="1">(SGDJPY[[#This Row],[Price]]-OFFSET(SGDJPY[[#This Row],[Price]],-1,0))/OFFSET(SGDJPY[[#This Row],[Price]],-1,0)</f>
        <v>-4.0229512564858676E-3</v>
      </c>
    </row>
    <row r="178" spans="4:9" x14ac:dyDescent="0.35">
      <c r="D178" vm="75">
        <f ca="1"/>
        <v>45603</v>
      </c>
      <c r="E178" vm="1098">
        <f ca="1"/>
        <v>115.8385</v>
      </c>
      <c r="G178" s="1" vm="12">
        <v>45516</v>
      </c>
      <c r="H178" s="3" vm="1035">
        <v>111.0868</v>
      </c>
      <c r="I178" s="5">
        <f ca="1">(SGDJPY[[#This Row],[Price]]-OFFSET(SGDJPY[[#This Row],[Price]],-1,0))/OFFSET(SGDJPY[[#This Row],[Price]],-1,0)</f>
        <v>4.0319701520326722E-3</v>
      </c>
    </row>
    <row r="179" spans="4:9" x14ac:dyDescent="0.35">
      <c r="D179" vm="76">
        <f ca="1"/>
        <v>45604</v>
      </c>
      <c r="E179" vm="1099">
        <f ca="1"/>
        <v>115.03619999999999</v>
      </c>
      <c r="G179" s="1" vm="13">
        <v>45517</v>
      </c>
      <c r="H179" s="3" vm="1036">
        <v>111.3952</v>
      </c>
      <c r="I179" s="5">
        <f ca="1">(SGDJPY[[#This Row],[Price]]-OFFSET(SGDJPY[[#This Row],[Price]],-1,0))/OFFSET(SGDJPY[[#This Row],[Price]],-1,0)</f>
        <v>2.7762074341866542E-3</v>
      </c>
    </row>
    <row r="180" spans="4:9" x14ac:dyDescent="0.35">
      <c r="D180" vm="77">
        <f ca="1"/>
        <v>45607</v>
      </c>
      <c r="E180" vm="1100">
        <f ca="1"/>
        <v>115.199</v>
      </c>
      <c r="G180" s="1" vm="14">
        <v>45518</v>
      </c>
      <c r="H180" s="3" vm="1037">
        <v>111.86969999999999</v>
      </c>
      <c r="I180" s="5">
        <f ca="1">(SGDJPY[[#This Row],[Price]]-OFFSET(SGDJPY[[#This Row],[Price]],-1,0))/OFFSET(SGDJPY[[#This Row],[Price]],-1,0)</f>
        <v>4.2596090316278611E-3</v>
      </c>
    </row>
    <row r="181" spans="4:9" x14ac:dyDescent="0.35">
      <c r="D181" vm="78">
        <f ca="1"/>
        <v>45608</v>
      </c>
      <c r="E181" vm="1101">
        <f ca="1"/>
        <v>115.50239999999999</v>
      </c>
      <c r="G181" s="1" vm="15">
        <v>45519</v>
      </c>
      <c r="H181" s="3" vm="1038">
        <v>112.8364</v>
      </c>
      <c r="I181" s="5">
        <f ca="1">(SGDJPY[[#This Row],[Price]]-OFFSET(SGDJPY[[#This Row],[Price]],-1,0))/OFFSET(SGDJPY[[#This Row],[Price]],-1,0)</f>
        <v>8.6413032304547433E-3</v>
      </c>
    </row>
    <row r="182" spans="4:9" x14ac:dyDescent="0.35">
      <c r="D182" vm="79">
        <f ca="1"/>
        <v>45609</v>
      </c>
      <c r="E182" vm="1102">
        <f ca="1"/>
        <v>115.7569</v>
      </c>
      <c r="G182" s="1" vm="16">
        <v>45520</v>
      </c>
      <c r="H182" s="3" vm="1039">
        <v>112.1514</v>
      </c>
      <c r="I182" s="5">
        <f ca="1">(SGDJPY[[#This Row],[Price]]-OFFSET(SGDJPY[[#This Row],[Price]],-1,0))/OFFSET(SGDJPY[[#This Row],[Price]],-1,0)</f>
        <v>-6.0707360390796078E-3</v>
      </c>
    </row>
    <row r="183" spans="4:9" x14ac:dyDescent="0.35">
      <c r="D183" vm="80">
        <f ca="1"/>
        <v>45610</v>
      </c>
      <c r="E183" vm="1103">
        <f ca="1"/>
        <v>116.033</v>
      </c>
      <c r="G183" s="1" vm="17">
        <v>45523</v>
      </c>
      <c r="H183" s="3" vm="1040">
        <v>112.0138</v>
      </c>
      <c r="I183" s="5">
        <f ca="1">(SGDJPY[[#This Row],[Price]]-OFFSET(SGDJPY[[#This Row],[Price]],-1,0))/OFFSET(SGDJPY[[#This Row],[Price]],-1,0)</f>
        <v>-1.2269129052333895E-3</v>
      </c>
    </row>
    <row r="184" spans="4:9" x14ac:dyDescent="0.35">
      <c r="D184" vm="81">
        <f ca="1"/>
        <v>45611</v>
      </c>
      <c r="E184" vm="1104">
        <f ca="1"/>
        <v>114.93040000000001</v>
      </c>
      <c r="G184" s="1" vm="18">
        <v>45524</v>
      </c>
      <c r="H184" s="3" vm="1041">
        <v>111.2856</v>
      </c>
      <c r="I184" s="5">
        <f ca="1">(SGDJPY[[#This Row],[Price]]-OFFSET(SGDJPY[[#This Row],[Price]],-1,0))/OFFSET(SGDJPY[[#This Row],[Price]],-1,0)</f>
        <v>-6.5009847000994615E-3</v>
      </c>
    </row>
    <row r="185" spans="4:9" x14ac:dyDescent="0.35">
      <c r="D185" vm="82">
        <f ca="1"/>
        <v>45614</v>
      </c>
      <c r="E185" vm="1105">
        <f ca="1"/>
        <v>115.4966</v>
      </c>
      <c r="G185" s="1" vm="19">
        <v>45525</v>
      </c>
      <c r="H185" s="3" vm="1042">
        <v>111.2422</v>
      </c>
      <c r="I185" s="5">
        <f ca="1">(SGDJPY[[#This Row],[Price]]-OFFSET(SGDJPY[[#This Row],[Price]],-1,0))/OFFSET(SGDJPY[[#This Row],[Price]],-1,0)</f>
        <v>-3.8998756353028093E-4</v>
      </c>
    </row>
    <row r="186" spans="4:9" x14ac:dyDescent="0.35">
      <c r="D186" vm="83">
        <f ca="1"/>
        <v>45615</v>
      </c>
      <c r="E186" vm="1106">
        <f ca="1"/>
        <v>115.5398</v>
      </c>
      <c r="G186" s="1" vm="20">
        <v>45526</v>
      </c>
      <c r="H186" s="3" vm="1043">
        <v>111.5467</v>
      </c>
      <c r="I186" s="5">
        <f ca="1">(SGDJPY[[#This Row],[Price]]-OFFSET(SGDJPY[[#This Row],[Price]],-1,0))/OFFSET(SGDJPY[[#This Row],[Price]],-1,0)</f>
        <v>2.7372705681836967E-3</v>
      </c>
    </row>
    <row r="187" spans="4:9" x14ac:dyDescent="0.35">
      <c r="D187" vm="84">
        <f ca="1"/>
        <v>45616</v>
      </c>
      <c r="E187" vm="1107">
        <f ca="1"/>
        <v>115.699</v>
      </c>
      <c r="G187" s="1" vm="21">
        <v>45527</v>
      </c>
      <c r="H187" s="3" vm="1044">
        <v>110.95140000000001</v>
      </c>
      <c r="I187" s="5">
        <f ca="1">(SGDJPY[[#This Row],[Price]]-OFFSET(SGDJPY[[#This Row],[Price]],-1,0))/OFFSET(SGDJPY[[#This Row],[Price]],-1,0)</f>
        <v>-5.336778228311502E-3</v>
      </c>
    </row>
    <row r="188" spans="4:9" x14ac:dyDescent="0.35">
      <c r="D188" vm="85">
        <f ca="1"/>
        <v>45617</v>
      </c>
      <c r="E188" vm="1108">
        <f ca="1"/>
        <v>114.7238</v>
      </c>
      <c r="G188" s="1" vm="22">
        <v>45530</v>
      </c>
      <c r="H188" s="3" vm="1045">
        <v>110.8027</v>
      </c>
      <c r="I188" s="5">
        <f ca="1">(SGDJPY[[#This Row],[Price]]-OFFSET(SGDJPY[[#This Row],[Price]],-1,0))/OFFSET(SGDJPY[[#This Row],[Price]],-1,0)</f>
        <v>-1.3402264414870398E-3</v>
      </c>
    </row>
    <row r="189" spans="4:9" x14ac:dyDescent="0.35">
      <c r="D189" vm="86">
        <f ca="1"/>
        <v>45618</v>
      </c>
      <c r="E189" vm="1109">
        <f ca="1"/>
        <v>114.8946</v>
      </c>
      <c r="G189" s="1" vm="23">
        <v>45531</v>
      </c>
      <c r="H189" s="3" vm="1046">
        <v>110.6032</v>
      </c>
      <c r="I189" s="5">
        <f ca="1">(SGDJPY[[#This Row],[Price]]-OFFSET(SGDJPY[[#This Row],[Price]],-1,0))/OFFSET(SGDJPY[[#This Row],[Price]],-1,0)</f>
        <v>-1.8004976413029687E-3</v>
      </c>
    </row>
    <row r="190" spans="4:9" x14ac:dyDescent="0.35">
      <c r="D190" vm="87">
        <f ca="1"/>
        <v>45621</v>
      </c>
      <c r="E190" vm="1110">
        <f ca="1"/>
        <v>114.56059999999999</v>
      </c>
      <c r="G190" s="1" vm="24">
        <v>45532</v>
      </c>
      <c r="H190" s="3" vm="1047">
        <v>110.9083</v>
      </c>
      <c r="I190" s="5">
        <f ca="1">(SGDJPY[[#This Row],[Price]]-OFFSET(SGDJPY[[#This Row],[Price]],-1,0))/OFFSET(SGDJPY[[#This Row],[Price]],-1,0)</f>
        <v>2.7585096995384937E-3</v>
      </c>
    </row>
    <row r="191" spans="4:9" x14ac:dyDescent="0.35">
      <c r="D191" vm="88">
        <f ca="1"/>
        <v>45622</v>
      </c>
      <c r="E191" vm="1111">
        <f ca="1"/>
        <v>113.6769</v>
      </c>
      <c r="G191" s="1" vm="25">
        <v>45533</v>
      </c>
      <c r="H191" s="3" vm="1048">
        <v>111.2407</v>
      </c>
      <c r="I191" s="5">
        <f ca="1">(SGDJPY[[#This Row],[Price]]-OFFSET(SGDJPY[[#This Row],[Price]],-1,0))/OFFSET(SGDJPY[[#This Row],[Price]],-1,0)</f>
        <v>2.9970705528802348E-3</v>
      </c>
    </row>
    <row r="192" spans="4:9" x14ac:dyDescent="0.35">
      <c r="D192" vm="89">
        <f ca="1"/>
        <v>45623</v>
      </c>
      <c r="E192" vm="1112">
        <f ca="1"/>
        <v>112.7191</v>
      </c>
      <c r="G192" s="1" vm="26">
        <v>45534</v>
      </c>
      <c r="H192" s="3" vm="1049">
        <v>111.84569999999999</v>
      </c>
      <c r="I192" s="5">
        <f ca="1">(SGDJPY[[#This Row],[Price]]-OFFSET(SGDJPY[[#This Row],[Price]],-1,0))/OFFSET(SGDJPY[[#This Row],[Price]],-1,0)</f>
        <v>5.4386568944638945E-3</v>
      </c>
    </row>
    <row r="193" spans="4:9" x14ac:dyDescent="0.35">
      <c r="D193" vm="90">
        <f ca="1"/>
        <v>45624</v>
      </c>
      <c r="E193" vm="1113">
        <f ca="1"/>
        <v>112.84529999999999</v>
      </c>
      <c r="G193" s="1" vm="27">
        <v>45537</v>
      </c>
      <c r="H193" s="3" vm="1050">
        <v>112.369</v>
      </c>
      <c r="I193" s="5">
        <f ca="1">(SGDJPY[[#This Row],[Price]]-OFFSET(SGDJPY[[#This Row],[Price]],-1,0))/OFFSET(SGDJPY[[#This Row],[Price]],-1,0)</f>
        <v>4.6787672659745179E-3</v>
      </c>
    </row>
    <row r="194" spans="4:9" x14ac:dyDescent="0.35">
      <c r="D194" vm="489">
        <f ca="1"/>
        <v>45625</v>
      </c>
      <c r="E194" vm="1114">
        <f ca="1"/>
        <v>111.7788</v>
      </c>
      <c r="G194" s="1" vm="28">
        <v>45538</v>
      </c>
      <c r="H194" s="3" vm="1051">
        <v>111.2837</v>
      </c>
      <c r="I194" s="5">
        <f ca="1">(SGDJPY[[#This Row],[Price]]-OFFSET(SGDJPY[[#This Row],[Price]],-1,0))/OFFSET(SGDJPY[[#This Row],[Price]],-1,0)</f>
        <v>-9.6583577321147623E-3</v>
      </c>
    </row>
    <row r="195" spans="4:9" x14ac:dyDescent="0.35">
      <c r="D195" vm="490">
        <f ca="1"/>
        <v>45628</v>
      </c>
      <c r="E195" vm="1115">
        <f ca="1"/>
        <v>111.1367</v>
      </c>
      <c r="G195" s="1" vm="29">
        <v>45539</v>
      </c>
      <c r="H195" s="3" vm="1052">
        <v>110.2055</v>
      </c>
      <c r="I195" s="5">
        <f ca="1">(SGDJPY[[#This Row],[Price]]-OFFSET(SGDJPY[[#This Row],[Price]],-1,0))/OFFSET(SGDJPY[[#This Row],[Price]],-1,0)</f>
        <v>-9.6887504639043762E-3</v>
      </c>
    </row>
    <row r="196" spans="4:9" x14ac:dyDescent="0.35">
      <c r="D196" vm="492">
        <f ca="1"/>
        <v>45629</v>
      </c>
      <c r="E196" vm="1116">
        <f ca="1"/>
        <v>111.235</v>
      </c>
      <c r="G196" s="1" vm="30">
        <v>45540</v>
      </c>
      <c r="H196" s="3" vm="1053">
        <v>110.33</v>
      </c>
      <c r="I196" s="5">
        <f ca="1">(SGDJPY[[#This Row],[Price]]-OFFSET(SGDJPY[[#This Row],[Price]],-1,0))/OFFSET(SGDJPY[[#This Row],[Price]],-1,0)</f>
        <v>1.1297076824659169E-3</v>
      </c>
    </row>
    <row r="197" spans="4:9" x14ac:dyDescent="0.35">
      <c r="D197" vm="493">
        <f ca="1"/>
        <v>45630</v>
      </c>
      <c r="E197" vm="1117">
        <f ca="1"/>
        <v>112.0536</v>
      </c>
      <c r="G197" s="1" vm="31">
        <v>45541</v>
      </c>
      <c r="H197" s="3" vm="1054">
        <v>109.2116</v>
      </c>
      <c r="I197" s="5">
        <f ca="1">(SGDJPY[[#This Row],[Price]]-OFFSET(SGDJPY[[#This Row],[Price]],-1,0))/OFFSET(SGDJPY[[#This Row],[Price]],-1,0)</f>
        <v>-1.0136862140850123E-2</v>
      </c>
    </row>
    <row r="198" spans="4:9" x14ac:dyDescent="0.35">
      <c r="D198" vm="495">
        <f ca="1"/>
        <v>45631</v>
      </c>
      <c r="E198" vm="1118">
        <f ca="1"/>
        <v>112.0502</v>
      </c>
      <c r="G198" s="1" vm="32">
        <v>45544</v>
      </c>
      <c r="H198" s="3" vm="1055">
        <v>109.6416</v>
      </c>
      <c r="I198" s="5">
        <f ca="1">(SGDJPY[[#This Row],[Price]]-OFFSET(SGDJPY[[#This Row],[Price]],-1,0))/OFFSET(SGDJPY[[#This Row],[Price]],-1,0)</f>
        <v>3.9373106886081023E-3</v>
      </c>
    </row>
    <row r="199" spans="4:9" x14ac:dyDescent="0.35">
      <c r="D199" vm="497">
        <f ca="1"/>
        <v>45632</v>
      </c>
      <c r="E199" vm="1119">
        <f ca="1"/>
        <v>111.71259999999999</v>
      </c>
      <c r="G199" s="1" vm="33">
        <v>45545</v>
      </c>
      <c r="H199" s="3" vm="1056">
        <v>109.1585</v>
      </c>
      <c r="I199" s="5">
        <f ca="1">(SGDJPY[[#This Row],[Price]]-OFFSET(SGDJPY[[#This Row],[Price]],-1,0))/OFFSET(SGDJPY[[#This Row],[Price]],-1,0)</f>
        <v>-4.4061742988062303E-3</v>
      </c>
    </row>
    <row r="200" spans="4:9" x14ac:dyDescent="0.35">
      <c r="D200" vm="499">
        <f ca="1"/>
        <v>45635</v>
      </c>
      <c r="E200" vm="1120">
        <f ca="1"/>
        <v>112.7694</v>
      </c>
      <c r="G200" s="1" vm="34">
        <v>45546</v>
      </c>
      <c r="H200" s="3" vm="1057">
        <v>109.155</v>
      </c>
      <c r="I200" s="5">
        <f ca="1">(SGDJPY[[#This Row],[Price]]-OFFSET(SGDJPY[[#This Row],[Price]],-1,0))/OFFSET(SGDJPY[[#This Row],[Price]],-1,0)</f>
        <v>-3.2063467343381423E-5</v>
      </c>
    </row>
    <row r="201" spans="4:9" x14ac:dyDescent="0.35">
      <c r="D201" vm="501">
        <f ca="1"/>
        <v>45636</v>
      </c>
      <c r="E201" vm="1121">
        <f ca="1"/>
        <v>113.235</v>
      </c>
      <c r="G201" s="1" vm="35">
        <v>45547</v>
      </c>
      <c r="H201" s="3" vm="1058">
        <v>108.95189999999999</v>
      </c>
      <c r="I201" s="5">
        <f ca="1">(SGDJPY[[#This Row],[Price]]-OFFSET(SGDJPY[[#This Row],[Price]],-1,0))/OFFSET(SGDJPY[[#This Row],[Price]],-1,0)</f>
        <v>-1.8606568640924031E-3</v>
      </c>
    </row>
    <row r="202" spans="4:9" x14ac:dyDescent="0.35">
      <c r="D202" vm="503">
        <f ca="1"/>
        <v>45637</v>
      </c>
      <c r="E202" vm="1122">
        <f ca="1"/>
        <v>113.3467</v>
      </c>
      <c r="G202" s="1" vm="36">
        <v>45548</v>
      </c>
      <c r="H202" s="3" vm="1059">
        <v>108.49</v>
      </c>
      <c r="I202" s="5">
        <f ca="1">(SGDJPY[[#This Row],[Price]]-OFFSET(SGDJPY[[#This Row],[Price]],-1,0))/OFFSET(SGDJPY[[#This Row],[Price]],-1,0)</f>
        <v>-4.2394854977288142E-3</v>
      </c>
    </row>
    <row r="203" spans="4:9" x14ac:dyDescent="0.35">
      <c r="D203" vm="505">
        <f ca="1"/>
        <v>45638</v>
      </c>
      <c r="E203" vm="1123">
        <f ca="1"/>
        <v>113.3036</v>
      </c>
      <c r="G203" s="1" vm="37">
        <v>45551</v>
      </c>
      <c r="H203" s="3" vm="1060">
        <v>108.5463</v>
      </c>
      <c r="I203" s="5">
        <f ca="1">(SGDJPY[[#This Row],[Price]]-OFFSET(SGDJPY[[#This Row],[Price]],-1,0))/OFFSET(SGDJPY[[#This Row],[Price]],-1,0)</f>
        <v>5.1894183795748311E-4</v>
      </c>
    </row>
    <row r="204" spans="4:9" x14ac:dyDescent="0.35">
      <c r="D204" vm="507">
        <f ca="1"/>
        <v>45639</v>
      </c>
      <c r="E204" vm="1124">
        <f ca="1"/>
        <v>113.88330000000001</v>
      </c>
      <c r="G204" s="1" vm="38">
        <v>45552</v>
      </c>
      <c r="H204" s="3" vm="1061">
        <v>109.79179999999999</v>
      </c>
      <c r="I204" s="5">
        <f ca="1">(SGDJPY[[#This Row],[Price]]-OFFSET(SGDJPY[[#This Row],[Price]],-1,0))/OFFSET(SGDJPY[[#This Row],[Price]],-1,0)</f>
        <v>1.1474366238185849E-2</v>
      </c>
    </row>
    <row r="205" spans="4:9" x14ac:dyDescent="0.35">
      <c r="D205" vm="509">
        <f ca="1"/>
        <v>45642</v>
      </c>
      <c r="E205" vm="1125">
        <f ca="1"/>
        <v>114.1936</v>
      </c>
      <c r="G205" s="1" vm="39">
        <v>45553</v>
      </c>
      <c r="H205" s="3" vm="1062">
        <v>109.8271</v>
      </c>
      <c r="I205" s="5">
        <f ca="1">(SGDJPY[[#This Row],[Price]]-OFFSET(SGDJPY[[#This Row],[Price]],-1,0))/OFFSET(SGDJPY[[#This Row],[Price]],-1,0)</f>
        <v>3.2151763610767424E-4</v>
      </c>
    </row>
    <row r="206" spans="4:9" x14ac:dyDescent="0.35">
      <c r="D206" vm="511">
        <f ca="1"/>
        <v>45643</v>
      </c>
      <c r="E206" vm="1126">
        <f ca="1"/>
        <v>113.672</v>
      </c>
      <c r="G206" s="1" vm="40">
        <v>45554</v>
      </c>
      <c r="H206" s="3" vm="1063">
        <v>110.3536</v>
      </c>
      <c r="I206" s="5">
        <f ca="1">(SGDJPY[[#This Row],[Price]]-OFFSET(SGDJPY[[#This Row],[Price]],-1,0))/OFFSET(SGDJPY[[#This Row],[Price]],-1,0)</f>
        <v>4.7938987736177927E-3</v>
      </c>
    </row>
    <row r="207" spans="4:9" x14ac:dyDescent="0.35">
      <c r="D207" vm="513">
        <f ca="1"/>
        <v>45644</v>
      </c>
      <c r="E207" vm="1127">
        <f ca="1"/>
        <v>113.55629999999999</v>
      </c>
      <c r="G207" s="1" vm="41">
        <v>45555</v>
      </c>
      <c r="H207" s="3" vm="1064">
        <v>111.4199</v>
      </c>
      <c r="I207" s="5">
        <f ca="1">(SGDJPY[[#This Row],[Price]]-OFFSET(SGDJPY[[#This Row],[Price]],-1,0))/OFFSET(SGDJPY[[#This Row],[Price]],-1,0)</f>
        <v>9.6625755752417532E-3</v>
      </c>
    </row>
    <row r="208" spans="4:9" x14ac:dyDescent="0.35">
      <c r="D208" vm="515">
        <f ca="1"/>
        <v>45645</v>
      </c>
      <c r="E208" vm="1128">
        <f ca="1"/>
        <v>115.6383</v>
      </c>
      <c r="G208" s="1" vm="42">
        <v>45558</v>
      </c>
      <c r="H208" s="3" vm="1065">
        <v>111.2402</v>
      </c>
      <c r="I208" s="5">
        <f ca="1">(SGDJPY[[#This Row],[Price]]-OFFSET(SGDJPY[[#This Row],[Price]],-1,0))/OFFSET(SGDJPY[[#This Row],[Price]],-1,0)</f>
        <v>-1.6128178180019625E-3</v>
      </c>
    </row>
    <row r="209" spans="4:9" x14ac:dyDescent="0.35">
      <c r="D209" vm="517">
        <f ca="1"/>
        <v>45646</v>
      </c>
      <c r="E209" vm="1129">
        <f ca="1"/>
        <v>115.3381</v>
      </c>
      <c r="G209" s="1" vm="43">
        <v>45559</v>
      </c>
      <c r="H209" s="3" vm="1066">
        <v>111.5681</v>
      </c>
      <c r="I209" s="5">
        <f ca="1">(SGDJPY[[#This Row],[Price]]-OFFSET(SGDJPY[[#This Row],[Price]],-1,0))/OFFSET(SGDJPY[[#This Row],[Price]],-1,0)</f>
        <v>2.9476753907310455E-3</v>
      </c>
    </row>
    <row r="210" spans="4:9" x14ac:dyDescent="0.35">
      <c r="D210" vm="519">
        <f ca="1"/>
        <v>45649</v>
      </c>
      <c r="E210" vm="1130">
        <f ca="1"/>
        <v>115.76309999999999</v>
      </c>
      <c r="G210" s="1" vm="44">
        <v>45560</v>
      </c>
      <c r="H210" s="3" vm="1067">
        <v>112.17449999999999</v>
      </c>
      <c r="I210" s="5">
        <f ca="1">(SGDJPY[[#This Row],[Price]]-OFFSET(SGDJPY[[#This Row],[Price]],-1,0))/OFFSET(SGDJPY[[#This Row],[Price]],-1,0)</f>
        <v>5.4352453792795036E-3</v>
      </c>
    </row>
    <row r="211" spans="4:9" x14ac:dyDescent="0.35">
      <c r="D211" vm="520">
        <f ca="1"/>
        <v>45650</v>
      </c>
      <c r="E211" vm="1131">
        <f ca="1"/>
        <v>115.6075</v>
      </c>
      <c r="G211" s="1" vm="45">
        <v>45561</v>
      </c>
      <c r="H211" s="3" vm="1068">
        <v>112.83410000000001</v>
      </c>
      <c r="I211" s="5">
        <f ca="1">(SGDJPY[[#This Row],[Price]]-OFFSET(SGDJPY[[#This Row],[Price]],-1,0))/OFFSET(SGDJPY[[#This Row],[Price]],-1,0)</f>
        <v>5.8801242706676806E-3</v>
      </c>
    </row>
    <row r="212" spans="4:9" x14ac:dyDescent="0.35">
      <c r="D212" vm="522">
        <f ca="1"/>
        <v>45651</v>
      </c>
      <c r="E212" vm="1132">
        <f ca="1"/>
        <v>115.8205</v>
      </c>
      <c r="G212" s="1" vm="46">
        <v>45562</v>
      </c>
      <c r="H212" s="3" vm="1069">
        <v>110.93859999999999</v>
      </c>
      <c r="I212" s="5">
        <f ca="1">(SGDJPY[[#This Row],[Price]]-OFFSET(SGDJPY[[#This Row],[Price]],-1,0))/OFFSET(SGDJPY[[#This Row],[Price]],-1,0)</f>
        <v>-1.6798999593208193E-2</v>
      </c>
    </row>
    <row r="213" spans="4:9" x14ac:dyDescent="0.35">
      <c r="D213" vm="524">
        <f ca="1"/>
        <v>45652</v>
      </c>
      <c r="E213" vm="1133">
        <f ca="1"/>
        <v>116.2534</v>
      </c>
      <c r="G213" s="1" vm="47">
        <v>45565</v>
      </c>
      <c r="H213" s="3" vm="1070">
        <v>111.74039999999999</v>
      </c>
      <c r="I213" s="5">
        <f ca="1">(SGDJPY[[#This Row],[Price]]-OFFSET(SGDJPY[[#This Row],[Price]],-1,0))/OFFSET(SGDJPY[[#This Row],[Price]],-1,0)</f>
        <v>7.2274212943015332E-3</v>
      </c>
    </row>
    <row r="214" spans="4:9" x14ac:dyDescent="0.35">
      <c r="D214" vm="526">
        <f ca="1"/>
        <v>45653</v>
      </c>
      <c r="E214" vm="1134">
        <f ca="1"/>
        <v>116.11239999999999</v>
      </c>
      <c r="G214" s="1" vm="48">
        <v>45566</v>
      </c>
      <c r="H214" s="3" vm="1071">
        <v>111.4423</v>
      </c>
      <c r="I214" s="5">
        <f ca="1">(SGDJPY[[#This Row],[Price]]-OFFSET(SGDJPY[[#This Row],[Price]],-1,0))/OFFSET(SGDJPY[[#This Row],[Price]],-1,0)</f>
        <v>-2.6677907005880678E-3</v>
      </c>
    </row>
    <row r="215" spans="4:9" x14ac:dyDescent="0.35">
      <c r="D215" vm="528">
        <f ca="1"/>
        <v>45656</v>
      </c>
      <c r="E215" vm="1135">
        <f ca="1"/>
        <v>115.2992</v>
      </c>
      <c r="G215" s="1" vm="49">
        <v>45567</v>
      </c>
      <c r="H215" s="3" vm="1072">
        <v>113.35039999999999</v>
      </c>
      <c r="I215" s="5">
        <f ca="1">(SGDJPY[[#This Row],[Price]]-OFFSET(SGDJPY[[#This Row],[Price]],-1,0))/OFFSET(SGDJPY[[#This Row],[Price]],-1,0)</f>
        <v>1.7121864857419403E-2</v>
      </c>
    </row>
    <row r="216" spans="4:9" x14ac:dyDescent="0.35">
      <c r="D216" vm="530">
        <f ca="1"/>
        <v>45657</v>
      </c>
      <c r="E216" vm="1136">
        <f ca="1"/>
        <v>115.0827</v>
      </c>
      <c r="G216" s="1" vm="50">
        <v>45568</v>
      </c>
      <c r="H216" s="3" vm="1073">
        <v>113.19929999999999</v>
      </c>
      <c r="I216" s="5">
        <f ca="1">(SGDJPY[[#This Row],[Price]]-OFFSET(SGDJPY[[#This Row],[Price]],-1,0))/OFFSET(SGDJPY[[#This Row],[Price]],-1,0)</f>
        <v>-1.3330345547964504E-3</v>
      </c>
    </row>
    <row r="217" spans="4:9" x14ac:dyDescent="0.35">
      <c r="D217" vm="531">
        <f ca="1"/>
        <v>45658</v>
      </c>
      <c r="E217" vm="1137">
        <f ca="1"/>
        <v>114.8053</v>
      </c>
      <c r="G217" s="1" vm="51">
        <v>45569</v>
      </c>
      <c r="H217" s="3" vm="1074">
        <v>113.9628</v>
      </c>
      <c r="I217" s="5">
        <f ca="1">(SGDJPY[[#This Row],[Price]]-OFFSET(SGDJPY[[#This Row],[Price]],-1,0))/OFFSET(SGDJPY[[#This Row],[Price]],-1,0)</f>
        <v>6.7447413544077361E-3</v>
      </c>
    </row>
    <row r="218" spans="4:9" x14ac:dyDescent="0.35">
      <c r="D218" vm="533">
        <f ca="1"/>
        <v>45659</v>
      </c>
      <c r="E218" vm="1138">
        <f ca="1"/>
        <v>114.8691</v>
      </c>
      <c r="G218" s="1" vm="52">
        <v>45572</v>
      </c>
      <c r="H218" s="3" vm="1075">
        <v>113.6088</v>
      </c>
      <c r="I218" s="5">
        <f ca="1">(SGDJPY[[#This Row],[Price]]-OFFSET(SGDJPY[[#This Row],[Price]],-1,0))/OFFSET(SGDJPY[[#This Row],[Price]],-1,0)</f>
        <v>-3.1062767850561692E-3</v>
      </c>
    </row>
    <row r="219" spans="4:9" x14ac:dyDescent="0.35">
      <c r="D219" vm="535">
        <f ca="1"/>
        <v>45660</v>
      </c>
      <c r="E219" vm="1139">
        <f ca="1"/>
        <v>114.7454</v>
      </c>
      <c r="G219" s="1" vm="53">
        <v>45573</v>
      </c>
      <c r="H219" s="3" vm="1076">
        <v>113.6426</v>
      </c>
      <c r="I219" s="5">
        <f ca="1">(SGDJPY[[#This Row],[Price]]-OFFSET(SGDJPY[[#This Row],[Price]],-1,0))/OFFSET(SGDJPY[[#This Row],[Price]],-1,0)</f>
        <v>2.97512164550628E-4</v>
      </c>
    </row>
    <row r="220" spans="4:9" x14ac:dyDescent="0.35">
      <c r="D220" vm="537">
        <f ca="1"/>
        <v>45663</v>
      </c>
      <c r="E220" vm="1140">
        <f ca="1"/>
        <v>115.59220000000001</v>
      </c>
      <c r="G220" s="1" vm="54">
        <v>45574</v>
      </c>
      <c r="H220" s="3" vm="1077">
        <v>114.1972</v>
      </c>
      <c r="I220" s="5">
        <f ca="1">(SGDJPY[[#This Row],[Price]]-OFFSET(SGDJPY[[#This Row],[Price]],-1,0))/OFFSET(SGDJPY[[#This Row],[Price]],-1,0)</f>
        <v>4.8802121739558368E-3</v>
      </c>
    </row>
    <row r="221" spans="4:9" x14ac:dyDescent="0.35">
      <c r="D221" vm="538">
        <f ca="1"/>
        <v>45664</v>
      </c>
      <c r="E221" vm="1141">
        <f ca="1"/>
        <v>115.85429999999999</v>
      </c>
      <c r="G221" s="1" vm="55">
        <v>45575</v>
      </c>
      <c r="H221" s="3" vm="1078">
        <v>113.77809999999999</v>
      </c>
      <c r="I221" s="5">
        <f ca="1">(SGDJPY[[#This Row],[Price]]-OFFSET(SGDJPY[[#This Row],[Price]],-1,0))/OFFSET(SGDJPY[[#This Row],[Price]],-1,0)</f>
        <v>-3.6699673897433588E-3</v>
      </c>
    </row>
    <row r="222" spans="4:9" x14ac:dyDescent="0.35">
      <c r="D222" vm="540">
        <f ca="1"/>
        <v>45665</v>
      </c>
      <c r="E222" vm="1142">
        <f ca="1"/>
        <v>115.7529</v>
      </c>
      <c r="G222" s="1" vm="56">
        <v>45576</v>
      </c>
      <c r="H222" s="3" vm="1079">
        <v>114.27589999999999</v>
      </c>
      <c r="I222" s="5">
        <f ca="1">(SGDJPY[[#This Row],[Price]]-OFFSET(SGDJPY[[#This Row],[Price]],-1,0))/OFFSET(SGDJPY[[#This Row],[Price]],-1,0)</f>
        <v>4.3751829218452234E-3</v>
      </c>
    </row>
    <row r="223" spans="4:9" x14ac:dyDescent="0.35">
      <c r="D223" vm="542">
        <f ca="1"/>
        <v>45666</v>
      </c>
      <c r="E223" vm="1143">
        <f ca="1"/>
        <v>115.4812</v>
      </c>
      <c r="G223" s="1" vm="57">
        <v>45579</v>
      </c>
      <c r="H223" s="3" vm="1080">
        <v>114.444</v>
      </c>
      <c r="I223" s="5">
        <f ca="1">(SGDJPY[[#This Row],[Price]]-OFFSET(SGDJPY[[#This Row],[Price]],-1,0))/OFFSET(SGDJPY[[#This Row],[Price]],-1,0)</f>
        <v>1.471001322238632E-3</v>
      </c>
    </row>
    <row r="224" spans="4:9" x14ac:dyDescent="0.35">
      <c r="D224" vm="544">
        <f ca="1"/>
        <v>45667</v>
      </c>
      <c r="E224" vm="1144">
        <f ca="1"/>
        <v>114.9679</v>
      </c>
      <c r="G224" s="1" vm="58">
        <v>45580</v>
      </c>
      <c r="H224" s="3" vm="1081">
        <v>113.929</v>
      </c>
      <c r="I224" s="5">
        <f ca="1">(SGDJPY[[#This Row],[Price]]-OFFSET(SGDJPY[[#This Row],[Price]],-1,0))/OFFSET(SGDJPY[[#This Row],[Price]],-1,0)</f>
        <v>-4.500017475796027E-3</v>
      </c>
    </row>
    <row r="225" spans="4:9" x14ac:dyDescent="0.35">
      <c r="D225" vm="546">
        <f ca="1"/>
        <v>45670</v>
      </c>
      <c r="E225" vm="1145">
        <f ca="1"/>
        <v>114.9584</v>
      </c>
      <c r="G225" s="1" vm="59">
        <v>45581</v>
      </c>
      <c r="H225" s="3" vm="1082">
        <v>113.9267</v>
      </c>
      <c r="I225" s="5">
        <f ca="1">(SGDJPY[[#This Row],[Price]]-OFFSET(SGDJPY[[#This Row],[Price]],-1,0))/OFFSET(SGDJPY[[#This Row],[Price]],-1,0)</f>
        <v>-2.0188011831976914E-5</v>
      </c>
    </row>
    <row r="226" spans="4:9" x14ac:dyDescent="0.35">
      <c r="D226" vm="548">
        <f ca="1"/>
        <v>45671</v>
      </c>
      <c r="E226" vm="1146">
        <f ca="1"/>
        <v>115.5692</v>
      </c>
      <c r="G226" s="1" vm="60">
        <v>45582</v>
      </c>
      <c r="H226" s="3" vm="1083">
        <v>114.25530000000001</v>
      </c>
      <c r="I226" s="5">
        <f ca="1">(SGDJPY[[#This Row],[Price]]-OFFSET(SGDJPY[[#This Row],[Price]],-1,0))/OFFSET(SGDJPY[[#This Row],[Price]],-1,0)</f>
        <v>2.884310701530095E-3</v>
      </c>
    </row>
    <row r="227" spans="4:9" x14ac:dyDescent="0.35">
      <c r="D227" vm="550">
        <f ca="1"/>
        <v>45672</v>
      </c>
      <c r="E227" vm="1147">
        <f ca="1"/>
        <v>114.4456</v>
      </c>
      <c r="G227" s="1" vm="61">
        <v>45583</v>
      </c>
      <c r="H227" s="3" vm="1084">
        <v>114.0939</v>
      </c>
      <c r="I227" s="5">
        <f ca="1">(SGDJPY[[#This Row],[Price]]-OFFSET(SGDJPY[[#This Row],[Price]],-1,0))/OFFSET(SGDJPY[[#This Row],[Price]],-1,0)</f>
        <v>-1.4126259350769762E-3</v>
      </c>
    </row>
    <row r="228" spans="4:9" x14ac:dyDescent="0.35">
      <c r="D228" vm="552">
        <f ca="1"/>
        <v>45673</v>
      </c>
      <c r="E228" vm="1148">
        <f ca="1"/>
        <v>113.52460000000001</v>
      </c>
      <c r="G228" s="1" vm="62">
        <v>45586</v>
      </c>
      <c r="H228" s="3" vm="1085">
        <v>114.5776</v>
      </c>
      <c r="I228" s="5">
        <f ca="1">(SGDJPY[[#This Row],[Price]]-OFFSET(SGDJPY[[#This Row],[Price]],-1,0))/OFFSET(SGDJPY[[#This Row],[Price]],-1,0)</f>
        <v>4.2394904547920515E-3</v>
      </c>
    </row>
    <row r="229" spans="4:9" x14ac:dyDescent="0.35">
      <c r="D229" vm="554">
        <f ca="1"/>
        <v>45674</v>
      </c>
      <c r="E229" vm="1149">
        <f ca="1"/>
        <v>114.0959</v>
      </c>
      <c r="G229" s="1" vm="63">
        <v>45587</v>
      </c>
      <c r="H229" s="3" vm="1086">
        <v>114.7349</v>
      </c>
      <c r="I229" s="5">
        <f ca="1">(SGDJPY[[#This Row],[Price]]-OFFSET(SGDJPY[[#This Row],[Price]],-1,0))/OFFSET(SGDJPY[[#This Row],[Price]],-1,0)</f>
        <v>1.3728686933570978E-3</v>
      </c>
    </row>
    <row r="230" spans="4:9" x14ac:dyDescent="0.35">
      <c r="D230" vm="556">
        <f ca="1"/>
        <v>45677</v>
      </c>
      <c r="E230" vm="1150">
        <f ca="1"/>
        <v>114.65730000000001</v>
      </c>
      <c r="G230" s="1" vm="64">
        <v>45588</v>
      </c>
      <c r="H230" s="3" vm="1087">
        <v>115.43980000000001</v>
      </c>
      <c r="I230" s="5">
        <f ca="1">(SGDJPY[[#This Row],[Price]]-OFFSET(SGDJPY[[#This Row],[Price]],-1,0))/OFFSET(SGDJPY[[#This Row],[Price]],-1,0)</f>
        <v>6.1437278456686608E-3</v>
      </c>
    </row>
    <row r="231" spans="4:9" x14ac:dyDescent="0.35">
      <c r="D231" vm="558">
        <f ca="1"/>
        <v>45678</v>
      </c>
      <c r="E231" vm="1151">
        <f ca="1"/>
        <v>114.9468</v>
      </c>
      <c r="G231" s="1" vm="65">
        <v>45589</v>
      </c>
      <c r="H231" s="3" vm="1088">
        <v>115.1722</v>
      </c>
      <c r="I231" s="5">
        <f ca="1">(SGDJPY[[#This Row],[Price]]-OFFSET(SGDJPY[[#This Row],[Price]],-1,0))/OFFSET(SGDJPY[[#This Row],[Price]],-1,0)</f>
        <v>-2.3180913341845845E-3</v>
      </c>
    </row>
    <row r="232" spans="4:9" x14ac:dyDescent="0.35">
      <c r="D232" vm="560">
        <f ca="1"/>
        <v>45679</v>
      </c>
      <c r="E232" vm="1152">
        <f ca="1"/>
        <v>115.4692</v>
      </c>
      <c r="G232" s="1" vm="66">
        <v>45590</v>
      </c>
      <c r="H232" s="3" vm="1089">
        <v>115.21299999999999</v>
      </c>
      <c r="I232" s="5">
        <f ca="1">(SGDJPY[[#This Row],[Price]]-OFFSET(SGDJPY[[#This Row],[Price]],-1,0))/OFFSET(SGDJPY[[#This Row],[Price]],-1,0)</f>
        <v>3.5425215459972267E-4</v>
      </c>
    </row>
    <row r="233" spans="4:9" x14ac:dyDescent="0.35">
      <c r="D233" vm="562">
        <f ca="1"/>
        <v>45680</v>
      </c>
      <c r="E233" vm="1153">
        <f ca="1"/>
        <v>115.08110000000001</v>
      </c>
      <c r="G233" s="1" vm="67">
        <v>45593</v>
      </c>
      <c r="H233" s="3" vm="1090">
        <v>115.8579</v>
      </c>
      <c r="I233" s="5">
        <f ca="1">(SGDJPY[[#This Row],[Price]]-OFFSET(SGDJPY[[#This Row],[Price]],-1,0))/OFFSET(SGDJPY[[#This Row],[Price]],-1,0)</f>
        <v>5.5974586201210539E-3</v>
      </c>
    </row>
    <row r="234" spans="4:9" x14ac:dyDescent="0.35">
      <c r="D234" vm="564">
        <f ca="1"/>
        <v>45681</v>
      </c>
      <c r="E234" vm="1154">
        <f ca="1"/>
        <v>115.8669</v>
      </c>
      <c r="G234" s="1" vm="68">
        <v>45594</v>
      </c>
      <c r="H234" s="3" vm="1091">
        <v>115.77079999999999</v>
      </c>
      <c r="I234" s="5">
        <f ca="1">(SGDJPY[[#This Row],[Price]]-OFFSET(SGDJPY[[#This Row],[Price]],-1,0))/OFFSET(SGDJPY[[#This Row],[Price]],-1,0)</f>
        <v>-7.5178300314442624E-4</v>
      </c>
    </row>
    <row r="235" spans="4:9" x14ac:dyDescent="0.35">
      <c r="D235" vm="566">
        <f ca="1"/>
        <v>45684</v>
      </c>
      <c r="E235" vm="1155">
        <f ca="1"/>
        <v>114.8454</v>
      </c>
      <c r="G235" s="1" vm="69">
        <v>45595</v>
      </c>
      <c r="H235" s="3" vm="1092">
        <v>116.0076</v>
      </c>
      <c r="I235" s="5">
        <f ca="1">(SGDJPY[[#This Row],[Price]]-OFFSET(SGDJPY[[#This Row],[Price]],-1,0))/OFFSET(SGDJPY[[#This Row],[Price]],-1,0)</f>
        <v>2.0454207796784885E-3</v>
      </c>
    </row>
    <row r="236" spans="4:9" x14ac:dyDescent="0.35">
      <c r="D236" vm="568">
        <f ca="1"/>
        <v>45685</v>
      </c>
      <c r="E236" vm="1156">
        <f ca="1"/>
        <v>115.1062</v>
      </c>
      <c r="G236" s="1" vm="70">
        <v>45596</v>
      </c>
      <c r="H236" s="3" vm="1093">
        <v>115.1568</v>
      </c>
      <c r="I236" s="5">
        <f ca="1">(SGDJPY[[#This Row],[Price]]-OFFSET(SGDJPY[[#This Row],[Price]],-1,0))/OFFSET(SGDJPY[[#This Row],[Price]],-1,0)</f>
        <v>-7.3340022550246057E-3</v>
      </c>
    </row>
    <row r="237" spans="4:9" x14ac:dyDescent="0.35">
      <c r="D237" vm="570">
        <f ca="1"/>
        <v>45686</v>
      </c>
      <c r="E237" vm="1157">
        <f ca="1"/>
        <v>114.96299999999999</v>
      </c>
      <c r="G237" s="1" vm="71">
        <v>45597</v>
      </c>
      <c r="H237" s="3" vm="1094">
        <v>115.31740000000001</v>
      </c>
      <c r="I237" s="5">
        <f ca="1">(SGDJPY[[#This Row],[Price]]-OFFSET(SGDJPY[[#This Row],[Price]],-1,0))/OFFSET(SGDJPY[[#This Row],[Price]],-1,0)</f>
        <v>1.3946202047990417E-3</v>
      </c>
    </row>
    <row r="238" spans="4:9" x14ac:dyDescent="0.35">
      <c r="D238" vm="572">
        <f ca="1"/>
        <v>45687</v>
      </c>
      <c r="E238" vm="1158">
        <f ca="1"/>
        <v>114.00069999999999</v>
      </c>
      <c r="G238" s="1" vm="72">
        <v>45600</v>
      </c>
      <c r="H238" s="3" vm="1095">
        <v>115.2587</v>
      </c>
      <c r="I238" s="5">
        <f ca="1">(SGDJPY[[#This Row],[Price]]-OFFSET(SGDJPY[[#This Row],[Price]],-1,0))/OFFSET(SGDJPY[[#This Row],[Price]],-1,0)</f>
        <v>-5.0902986019457381E-4</v>
      </c>
    </row>
    <row r="239" spans="4:9" x14ac:dyDescent="0.35">
      <c r="D239" vm="574">
        <f ca="1"/>
        <v>45688</v>
      </c>
      <c r="E239" vm="1159">
        <f ca="1"/>
        <v>114.1617</v>
      </c>
      <c r="G239" s="1" vm="73">
        <v>45601</v>
      </c>
      <c r="H239" s="3" vm="1096">
        <v>115.31910000000001</v>
      </c>
      <c r="I239" s="5">
        <f ca="1">(SGDJPY[[#This Row],[Price]]-OFFSET(SGDJPY[[#This Row],[Price]],-1,0))/OFFSET(SGDJPY[[#This Row],[Price]],-1,0)</f>
        <v>5.2403853244918901E-4</v>
      </c>
    </row>
    <row r="240" spans="4:9" x14ac:dyDescent="0.35">
      <c r="D240" vm="576">
        <f ca="1"/>
        <v>45691</v>
      </c>
      <c r="E240" vm="1160">
        <f ca="1"/>
        <v>113.82859999999999</v>
      </c>
      <c r="G240" s="1" vm="74">
        <v>45602</v>
      </c>
      <c r="H240" s="3" vm="1097">
        <v>115.9406</v>
      </c>
      <c r="I240" s="5">
        <f ca="1">(SGDJPY[[#This Row],[Price]]-OFFSET(SGDJPY[[#This Row],[Price]],-1,0))/OFFSET(SGDJPY[[#This Row],[Price]],-1,0)</f>
        <v>5.38939343092339E-3</v>
      </c>
    </row>
    <row r="241" spans="4:9" x14ac:dyDescent="0.35">
      <c r="D241" vm="578">
        <f ca="1"/>
        <v>45692</v>
      </c>
      <c r="E241" vm="1161">
        <f ca="1"/>
        <v>114.1241</v>
      </c>
      <c r="G241" s="1" vm="75">
        <v>45603</v>
      </c>
      <c r="H241" s="3" vm="1098">
        <v>115.8385</v>
      </c>
      <c r="I241" s="5">
        <f ca="1">(SGDJPY[[#This Row],[Price]]-OFFSET(SGDJPY[[#This Row],[Price]],-1,0))/OFFSET(SGDJPY[[#This Row],[Price]],-1,0)</f>
        <v>-8.806233536828961E-4</v>
      </c>
    </row>
    <row r="242" spans="4:9" x14ac:dyDescent="0.35">
      <c r="D242" vm="580">
        <f ca="1"/>
        <v>45693</v>
      </c>
      <c r="E242" vm="1162">
        <f ca="1"/>
        <v>113.12179999999999</v>
      </c>
      <c r="G242" s="1" vm="76">
        <v>45604</v>
      </c>
      <c r="H242" s="3" vm="1099">
        <v>115.03619999999999</v>
      </c>
      <c r="I242" s="5">
        <f ca="1">(SGDJPY[[#This Row],[Price]]-OFFSET(SGDJPY[[#This Row],[Price]],-1,0))/OFFSET(SGDJPY[[#This Row],[Price]],-1,0)</f>
        <v>-6.9260220047739091E-3</v>
      </c>
    </row>
    <row r="243" spans="4:9" x14ac:dyDescent="0.35">
      <c r="D243" vm="582">
        <f ca="1"/>
        <v>45694</v>
      </c>
      <c r="E243" vm="1163">
        <f ca="1"/>
        <v>112.1279</v>
      </c>
      <c r="G243" s="1" vm="77">
        <v>45607</v>
      </c>
      <c r="H243" s="3" vm="1100">
        <v>115.199</v>
      </c>
      <c r="I243" s="5">
        <f ca="1">(SGDJPY[[#This Row],[Price]]-OFFSET(SGDJPY[[#This Row],[Price]],-1,0))/OFFSET(SGDJPY[[#This Row],[Price]],-1,0)</f>
        <v>1.4152066914588997E-3</v>
      </c>
    </row>
    <row r="244" spans="4:9" x14ac:dyDescent="0.35">
      <c r="D244" vm="584">
        <f ca="1"/>
        <v>45695</v>
      </c>
      <c r="E244" vm="1164">
        <f ca="1"/>
        <v>111.7013</v>
      </c>
      <c r="G244" s="1" vm="78">
        <v>45608</v>
      </c>
      <c r="H244" s="3" vm="1101">
        <v>115.50239999999999</v>
      </c>
      <c r="I244" s="5">
        <f ca="1">(SGDJPY[[#This Row],[Price]]-OFFSET(SGDJPY[[#This Row],[Price]],-1,0))/OFFSET(SGDJPY[[#This Row],[Price]],-1,0)</f>
        <v>2.633703417564357E-3</v>
      </c>
    </row>
    <row r="245" spans="4:9" x14ac:dyDescent="0.35">
      <c r="D245" vm="586">
        <f ca="1"/>
        <v>45698</v>
      </c>
      <c r="E245" vm="1165">
        <f ca="1"/>
        <v>112.1366</v>
      </c>
      <c r="G245" s="1" vm="79">
        <v>45609</v>
      </c>
      <c r="H245" s="3" vm="1102">
        <v>115.7569</v>
      </c>
      <c r="I245" s="5">
        <f ca="1">(SGDJPY[[#This Row],[Price]]-OFFSET(SGDJPY[[#This Row],[Price]],-1,0))/OFFSET(SGDJPY[[#This Row],[Price]],-1,0)</f>
        <v>2.2034174181662656E-3</v>
      </c>
    </row>
    <row r="246" spans="4:9" x14ac:dyDescent="0.35">
      <c r="D246" vm="588">
        <f ca="1"/>
        <v>45699</v>
      </c>
      <c r="E246" vm="1166">
        <f ca="1"/>
        <v>112.67270000000001</v>
      </c>
      <c r="G246" s="1" vm="80">
        <v>45610</v>
      </c>
      <c r="H246" s="3" vm="1103">
        <v>116.033</v>
      </c>
      <c r="I246" s="5">
        <f ca="1">(SGDJPY[[#This Row],[Price]]-OFFSET(SGDJPY[[#This Row],[Price]],-1,0))/OFFSET(SGDJPY[[#This Row],[Price]],-1,0)</f>
        <v>2.385170991966782E-3</v>
      </c>
    </row>
    <row r="247" spans="4:9" x14ac:dyDescent="0.35">
      <c r="D247" vm="590">
        <f ca="1"/>
        <v>45700</v>
      </c>
      <c r="E247" vm="1167">
        <f ca="1"/>
        <v>114.0652</v>
      </c>
      <c r="G247" s="1" vm="81">
        <v>45611</v>
      </c>
      <c r="H247" s="3" vm="1104">
        <v>114.93040000000001</v>
      </c>
      <c r="I247" s="5">
        <f ca="1">(SGDJPY[[#This Row],[Price]]-OFFSET(SGDJPY[[#This Row],[Price]],-1,0))/OFFSET(SGDJPY[[#This Row],[Price]],-1,0)</f>
        <v>-9.5024691251626298E-3</v>
      </c>
    </row>
    <row r="248" spans="4:9" x14ac:dyDescent="0.35">
      <c r="D248" vm="592">
        <f ca="1"/>
        <v>45701</v>
      </c>
      <c r="E248" vm="1168">
        <f ca="1"/>
        <v>113.7169</v>
      </c>
      <c r="G248" s="1" vm="82">
        <v>45614</v>
      </c>
      <c r="H248" s="3" vm="1105">
        <v>115.4966</v>
      </c>
      <c r="I248" s="5">
        <f ca="1">(SGDJPY[[#This Row],[Price]]-OFFSET(SGDJPY[[#This Row],[Price]],-1,0))/OFFSET(SGDJPY[[#This Row],[Price]],-1,0)</f>
        <v>4.9264598400422773E-3</v>
      </c>
    </row>
    <row r="249" spans="4:9" x14ac:dyDescent="0.35">
      <c r="D249" vm="594">
        <f ca="1"/>
        <v>45702</v>
      </c>
      <c r="E249" vm="1169">
        <f ca="1"/>
        <v>113.6876</v>
      </c>
      <c r="G249" s="1" vm="83">
        <v>45615</v>
      </c>
      <c r="H249" s="3" vm="1106">
        <v>115.5398</v>
      </c>
      <c r="I249" s="5">
        <f ca="1">(SGDJPY[[#This Row],[Price]]-OFFSET(SGDJPY[[#This Row],[Price]],-1,0))/OFFSET(SGDJPY[[#This Row],[Price]],-1,0)</f>
        <v>3.740369846384984E-4</v>
      </c>
    </row>
    <row r="250" spans="4:9" x14ac:dyDescent="0.35">
      <c r="D250" vm="596">
        <f ca="1"/>
        <v>45705</v>
      </c>
      <c r="E250" vm="1170">
        <f ca="1"/>
        <v>112.8828</v>
      </c>
      <c r="G250" s="1" vm="84">
        <v>45616</v>
      </c>
      <c r="H250" s="3" vm="1107">
        <v>115.699</v>
      </c>
      <c r="I250" s="5">
        <f ca="1">(SGDJPY[[#This Row],[Price]]-OFFSET(SGDJPY[[#This Row],[Price]],-1,0))/OFFSET(SGDJPY[[#This Row],[Price]],-1,0)</f>
        <v>1.3778801763548012E-3</v>
      </c>
    </row>
    <row r="251" spans="4:9" x14ac:dyDescent="0.35">
      <c r="D251" vm="598">
        <f ca="1"/>
        <v>45706</v>
      </c>
      <c r="E251" vm="1171">
        <f ca="1"/>
        <v>113.242</v>
      </c>
      <c r="G251" s="1" vm="85">
        <v>45617</v>
      </c>
      <c r="H251" s="3" vm="1108">
        <v>114.7238</v>
      </c>
      <c r="I251" s="5">
        <f ca="1">(SGDJPY[[#This Row],[Price]]-OFFSET(SGDJPY[[#This Row],[Price]],-1,0))/OFFSET(SGDJPY[[#This Row],[Price]],-1,0)</f>
        <v>-8.4287677508016572E-3</v>
      </c>
    </row>
    <row r="252" spans="4:9" x14ac:dyDescent="0.35">
      <c r="D252" vm="600">
        <f ca="1"/>
        <v>45707</v>
      </c>
      <c r="E252" vm="1172">
        <f ca="1"/>
        <v>112.768</v>
      </c>
      <c r="G252" s="1" vm="86">
        <v>45618</v>
      </c>
      <c r="H252" s="3" vm="1109">
        <v>114.8946</v>
      </c>
      <c r="I252" s="5">
        <f ca="1">(SGDJPY[[#This Row],[Price]]-OFFSET(SGDJPY[[#This Row],[Price]],-1,0))/OFFSET(SGDJPY[[#This Row],[Price]],-1,0)</f>
        <v>1.4887930839110964E-3</v>
      </c>
    </row>
    <row r="253" spans="4:9" x14ac:dyDescent="0.35">
      <c r="D253" vm="602">
        <f ca="1"/>
        <v>45708</v>
      </c>
      <c r="E253" vm="1173">
        <f ca="1"/>
        <v>112.18510000000001</v>
      </c>
      <c r="G253" s="1" vm="87">
        <v>45621</v>
      </c>
      <c r="H253" s="3" vm="1110">
        <v>114.56059999999999</v>
      </c>
      <c r="I253" s="5">
        <f ca="1">(SGDJPY[[#This Row],[Price]]-OFFSET(SGDJPY[[#This Row],[Price]],-1,0))/OFFSET(SGDJPY[[#This Row],[Price]],-1,0)</f>
        <v>-2.9070121659329783E-3</v>
      </c>
    </row>
    <row r="254" spans="4:9" x14ac:dyDescent="0.35">
      <c r="D254" vm="604">
        <f ca="1"/>
        <v>45709</v>
      </c>
      <c r="E254" vm="1174">
        <f ca="1"/>
        <v>111.6688</v>
      </c>
      <c r="G254" s="1" vm="88">
        <v>45622</v>
      </c>
      <c r="H254" s="3" vm="1111">
        <v>113.6769</v>
      </c>
      <c r="I254" s="5">
        <f ca="1">(SGDJPY[[#This Row],[Price]]-OFFSET(SGDJPY[[#This Row],[Price]],-1,0))/OFFSET(SGDJPY[[#This Row],[Price]],-1,0)</f>
        <v>-7.7138213312429446E-3</v>
      </c>
    </row>
    <row r="255" spans="4:9" x14ac:dyDescent="0.35">
      <c r="D255" vm="605">
        <f ca="1"/>
        <v>45712</v>
      </c>
      <c r="E255" vm="1175">
        <f ca="1"/>
        <v>111.7739</v>
      </c>
      <c r="G255" s="1" vm="89">
        <v>45623</v>
      </c>
      <c r="H255" s="3" vm="1112">
        <v>112.7191</v>
      </c>
      <c r="I255" s="5">
        <f ca="1">(SGDJPY[[#This Row],[Price]]-OFFSET(SGDJPY[[#This Row],[Price]],-1,0))/OFFSET(SGDJPY[[#This Row],[Price]],-1,0)</f>
        <v>-8.4256344076941402E-3</v>
      </c>
    </row>
    <row r="256" spans="4:9" x14ac:dyDescent="0.35">
      <c r="G256" s="1" vm="90">
        <v>45624</v>
      </c>
      <c r="H256" s="3" vm="1113">
        <v>112.84529999999999</v>
      </c>
      <c r="I256" s="5">
        <f ca="1">(SGDJPY[[#This Row],[Price]]-OFFSET(SGDJPY[[#This Row],[Price]],-1,0))/OFFSET(SGDJPY[[#This Row],[Price]],-1,0)</f>
        <v>1.1195972998364714E-3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1B40-CC9E-404B-BB4F-6607C13DCACE}">
  <sheetPr codeName="Sheet59"/>
  <dimension ref="A1:I256"/>
  <sheetViews>
    <sheetView tabSelected="1" workbookViewId="0">
      <selection activeCell="D1" sqref="D1"/>
    </sheetView>
  </sheetViews>
  <sheetFormatPr defaultRowHeight="14.5" x14ac:dyDescent="0.35"/>
  <cols>
    <col min="2" max="2" width="10.453125" bestFit="1" customWidth="1"/>
    <col min="4" max="4" width="10.54296875" bestFit="1" customWidth="1"/>
    <col min="7" max="7" width="10.26953125" customWidth="1"/>
  </cols>
  <sheetData>
    <row r="1" spans="1:9" x14ac:dyDescent="0.35">
      <c r="A1" t="s">
        <v>0</v>
      </c>
      <c r="B1" t="s">
        <v>31</v>
      </c>
      <c r="D1" t="str" cm="1">
        <f t="array" aca="1" ref="D1:E255" ca="1">_xlfn.STOCKHISTORY(B1,B2,B3)</f>
        <v>Date</v>
      </c>
      <c r="E1" t="str">
        <f ca="1"/>
        <v>Close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f ca="1">WORKDAY(B3,-255)</f>
        <v>45357</v>
      </c>
      <c r="D2" vm="151">
        <f ca="1"/>
        <v>45357</v>
      </c>
      <c r="E2" vm="1176">
        <f ca="1"/>
        <v>1.2728999999999999</v>
      </c>
      <c r="G2" s="1" vm="254">
        <v>45268</v>
      </c>
      <c r="H2" s="4" vm="1177">
        <v>1.2545999999999999</v>
      </c>
      <c r="I2" s="5" t="e">
        <f ca="1">(GBPUSD[[#This Row],[Price]]-OFFSET(GBPUSD[[#This Row],[Price]],-1,0))/OFFSET(GBPUSD[[#This Row],[Price]],-1,0)</f>
        <v>#VALUE!</v>
      </c>
    </row>
    <row r="3" spans="1:9" x14ac:dyDescent="0.35">
      <c r="A3" t="s">
        <v>2</v>
      </c>
      <c r="B3" s="2">
        <f ca="1">TODAY()</f>
        <v>45714</v>
      </c>
      <c r="D3" vm="152">
        <f ca="1"/>
        <v>45358</v>
      </c>
      <c r="E3" vm="1178">
        <f ca="1"/>
        <v>1.2806</v>
      </c>
      <c r="G3" s="1" vm="257">
        <v>45271</v>
      </c>
      <c r="H3" s="4" vm="1179">
        <v>1.2553000000000001</v>
      </c>
      <c r="I3" s="5">
        <f ca="1">(GBPUSD[[#This Row],[Price]]-OFFSET(GBPUSD[[#This Row],[Price]],-1,0))/OFFSET(GBPUSD[[#This Row],[Price]],-1,0)</f>
        <v>5.5794675593826319E-4</v>
      </c>
    </row>
    <row r="4" spans="1:9" x14ac:dyDescent="0.35">
      <c r="D4" vm="153">
        <f ca="1"/>
        <v>45359</v>
      </c>
      <c r="E4" vm="1180">
        <f ca="1"/>
        <v>1.2857000000000001</v>
      </c>
      <c r="G4" s="1" vm="260">
        <v>45272</v>
      </c>
      <c r="H4" s="4" vm="1181">
        <v>1.2561</v>
      </c>
      <c r="I4" s="5">
        <f ca="1">(GBPUSD[[#This Row],[Price]]-OFFSET(GBPUSD[[#This Row],[Price]],-1,0))/OFFSET(GBPUSD[[#This Row],[Price]],-1,0)</f>
        <v>6.3729785708588533E-4</v>
      </c>
    </row>
    <row r="5" spans="1:9" x14ac:dyDescent="0.35">
      <c r="A5" t="s">
        <v>9</v>
      </c>
      <c r="D5" vm="154">
        <f ca="1"/>
        <v>45362</v>
      </c>
      <c r="E5" vm="1182">
        <f ca="1"/>
        <v>1.2811999999999999</v>
      </c>
      <c r="G5" s="1" vm="91">
        <v>45273</v>
      </c>
      <c r="H5" s="4" vm="1183">
        <v>1.2618</v>
      </c>
      <c r="I5" s="5">
        <f ca="1">(GBPUSD[[#This Row],[Price]]-OFFSET(GBPUSD[[#This Row],[Price]],-1,0))/OFFSET(GBPUSD[[#This Row],[Price]],-1,0)</f>
        <v>4.5378552663004846E-3</v>
      </c>
    </row>
    <row r="6" spans="1:9" x14ac:dyDescent="0.35">
      <c r="A6" t="s">
        <v>10</v>
      </c>
      <c r="B6" s="6">
        <f ca="1">AVERAGE(OFFSET(GBPUSD[[#Headers],[Change %]],COUNTA(GBPUSD[Change %])-252+1,0,252,1))</f>
        <v>4.737386127540923E-5</v>
      </c>
      <c r="D6" vm="155">
        <f ca="1"/>
        <v>45363</v>
      </c>
      <c r="E6" vm="1184">
        <f ca="1"/>
        <v>1.2790999999999999</v>
      </c>
      <c r="G6" s="1" vm="92">
        <v>45274</v>
      </c>
      <c r="H6" s="4" vm="1185">
        <v>1.2766</v>
      </c>
      <c r="I6" s="5">
        <f ca="1">(GBPUSD[[#This Row],[Price]]-OFFSET(GBPUSD[[#This Row],[Price]],-1,0))/OFFSET(GBPUSD[[#This Row],[Price]],-1,0)</f>
        <v>1.1729275637977432E-2</v>
      </c>
    </row>
    <row r="7" spans="1:9" x14ac:dyDescent="0.35">
      <c r="A7" t="s">
        <v>11</v>
      </c>
      <c r="B7" s="6">
        <f ca="1">_xlfn.STDEV.S(OFFSET(GBPUSD[[#Headers],[Change %]],COUNTA(GBPUSD[Change %])-252+1,0,252,1))</f>
        <v>3.9472618220703975E-3</v>
      </c>
      <c r="D7" vm="156">
        <f ca="1"/>
        <v>45364</v>
      </c>
      <c r="E7" vm="1186">
        <f ca="1"/>
        <v>1.2796000000000001</v>
      </c>
      <c r="G7" s="1" vm="93">
        <v>45275</v>
      </c>
      <c r="H7" s="4" vm="1187">
        <v>1.2675000000000001</v>
      </c>
      <c r="I7" s="5">
        <f ca="1">(GBPUSD[[#This Row],[Price]]-OFFSET(GBPUSD[[#This Row],[Price]],-1,0))/OFFSET(GBPUSD[[#This Row],[Price]],-1,0)</f>
        <v>-7.1283095723013367E-3</v>
      </c>
    </row>
    <row r="8" spans="1:9" x14ac:dyDescent="0.35">
      <c r="A8" t="s">
        <v>12</v>
      </c>
      <c r="B8" s="6">
        <f ca="1">_xlfn.VAR.S(OFFSET(GBPUSD[[#Headers],[Change %]],COUNTA(GBPUSD[Change %])-252+1,0,252,1))</f>
        <v>1.5580875891974513E-5</v>
      </c>
      <c r="D8" vm="157">
        <f ca="1"/>
        <v>45365</v>
      </c>
      <c r="E8" vm="1188">
        <f ca="1"/>
        <v>1.2750999999999999</v>
      </c>
      <c r="G8" s="1" vm="94">
        <v>45278</v>
      </c>
      <c r="H8" s="4" vm="1189">
        <v>1.2642</v>
      </c>
      <c r="I8" s="5">
        <f ca="1">(GBPUSD[[#This Row],[Price]]-OFFSET(GBPUSD[[#This Row],[Price]],-1,0))/OFFSET(GBPUSD[[#This Row],[Price]],-1,0)</f>
        <v>-2.6035502958580516E-3</v>
      </c>
    </row>
    <row r="9" spans="1:9" x14ac:dyDescent="0.35">
      <c r="D9" vm="158">
        <f ca="1"/>
        <v>45366</v>
      </c>
      <c r="E9" vm="1190">
        <f ca="1"/>
        <v>1.2739</v>
      </c>
      <c r="G9" s="1" vm="95">
        <v>45279</v>
      </c>
      <c r="H9" s="4" vm="1191">
        <v>1.2729999999999999</v>
      </c>
      <c r="I9" s="5">
        <f ca="1">(GBPUSD[[#This Row],[Price]]-OFFSET(GBPUSD[[#This Row],[Price]],-1,0))/OFFSET(GBPUSD[[#This Row],[Price]],-1,0)</f>
        <v>6.9609239044454351E-3</v>
      </c>
    </row>
    <row r="10" spans="1:9" x14ac:dyDescent="0.35">
      <c r="A10" t="s">
        <v>13</v>
      </c>
      <c r="D10" vm="159">
        <f ca="1"/>
        <v>45369</v>
      </c>
      <c r="E10" vm="1192">
        <f ca="1"/>
        <v>1.2726999999999999</v>
      </c>
      <c r="G10" s="1" vm="96">
        <v>45280</v>
      </c>
      <c r="H10" s="4" vm="1193">
        <v>1.2637</v>
      </c>
      <c r="I10" s="5">
        <f ca="1">(GBPUSD[[#This Row],[Price]]-OFFSET(GBPUSD[[#This Row],[Price]],-1,0))/OFFSET(GBPUSD[[#This Row],[Price]],-1,0)</f>
        <v>-7.3055773762764056E-3</v>
      </c>
    </row>
    <row r="11" spans="1:9" x14ac:dyDescent="0.35">
      <c r="A11" t="s">
        <v>10</v>
      </c>
      <c r="B11" s="6">
        <f ca="1">AVERAGE(OFFSET(GBPUSD[[#Headers],[Change %]],COUNTA(GBPUSD[Change %])-90+1,0,90,1))</f>
        <v>-1.3274217546112665E-4</v>
      </c>
      <c r="D11" vm="160">
        <f ca="1"/>
        <v>45370</v>
      </c>
      <c r="E11" vm="1194">
        <f ca="1"/>
        <v>1.272</v>
      </c>
      <c r="G11" s="1" vm="97">
        <v>45281</v>
      </c>
      <c r="H11" s="4" vm="1195">
        <v>1.2687999999999999</v>
      </c>
      <c r="I11" s="5">
        <f ca="1">(GBPUSD[[#This Row],[Price]]-OFFSET(GBPUSD[[#This Row],[Price]],-1,0))/OFFSET(GBPUSD[[#This Row],[Price]],-1,0)</f>
        <v>4.0357679829072426E-3</v>
      </c>
    </row>
    <row r="12" spans="1:9" x14ac:dyDescent="0.35">
      <c r="A12" t="s">
        <v>11</v>
      </c>
      <c r="B12" s="6">
        <f ca="1">_xlfn.STDEV.S(OFFSET(GBPUSD[[#Headers],[Change %]],COUNTA(GBPUSD[Change %])-90+1,0,90,1))</f>
        <v>4.4858251835634792E-3</v>
      </c>
      <c r="D12" vm="161">
        <f ca="1"/>
        <v>45371</v>
      </c>
      <c r="E12" vm="1196">
        <f ca="1"/>
        <v>1.2784</v>
      </c>
      <c r="G12" s="1" vm="98">
        <v>45282</v>
      </c>
      <c r="H12" s="4" vm="1197">
        <v>1.27</v>
      </c>
      <c r="I12" s="5">
        <f ca="1">(GBPUSD[[#This Row],[Price]]-OFFSET(GBPUSD[[#This Row],[Price]],-1,0))/OFFSET(GBPUSD[[#This Row],[Price]],-1,0)</f>
        <v>9.4577553593954127E-4</v>
      </c>
    </row>
    <row r="13" spans="1:9" x14ac:dyDescent="0.35">
      <c r="A13" t="s">
        <v>12</v>
      </c>
      <c r="B13" s="6">
        <f ca="1">_xlfn.VAR.S(OFFSET(GBPUSD[[#Headers],[Change %]],COUNTA(GBPUSD[Change %])-90+1,0,90,1))</f>
        <v>2.0122627577492325E-5</v>
      </c>
      <c r="D13" vm="162">
        <f ca="1"/>
        <v>45372</v>
      </c>
      <c r="E13" vm="1198">
        <f ca="1"/>
        <v>1.2656000000000001</v>
      </c>
      <c r="G13" s="1" vm="99">
        <v>45285</v>
      </c>
      <c r="H13" s="4" vm="1199">
        <v>1.2688999999999999</v>
      </c>
      <c r="I13" s="5">
        <f ca="1">(GBPUSD[[#This Row],[Price]]-OFFSET(GBPUSD[[#This Row],[Price]],-1,0))/OFFSET(GBPUSD[[#This Row],[Price]],-1,0)</f>
        <v>-8.6614173228354398E-4</v>
      </c>
    </row>
    <row r="14" spans="1:9" x14ac:dyDescent="0.35">
      <c r="D14" vm="163">
        <f ca="1"/>
        <v>45373</v>
      </c>
      <c r="E14" vm="1200">
        <f ca="1"/>
        <v>1.2601</v>
      </c>
      <c r="G14" s="1" vm="100">
        <v>45286</v>
      </c>
      <c r="H14" s="4" vm="1201">
        <v>1.2726</v>
      </c>
      <c r="I14" s="5">
        <f ca="1">(GBPUSD[[#This Row],[Price]]-OFFSET(GBPUSD[[#This Row],[Price]],-1,0))/OFFSET(GBPUSD[[#This Row],[Price]],-1,0)</f>
        <v>2.9159114193396144E-3</v>
      </c>
    </row>
    <row r="15" spans="1:9" x14ac:dyDescent="0.35">
      <c r="D15" vm="164">
        <f ca="1"/>
        <v>45376</v>
      </c>
      <c r="E15" vm="1202">
        <f ca="1"/>
        <v>1.2634000000000001</v>
      </c>
      <c r="G15" s="1" vm="101">
        <v>45287</v>
      </c>
      <c r="H15" s="4" vm="1203">
        <v>1.2794000000000001</v>
      </c>
      <c r="I15" s="5">
        <f ca="1">(GBPUSD[[#This Row],[Price]]-OFFSET(GBPUSD[[#This Row],[Price]],-1,0))/OFFSET(GBPUSD[[#This Row],[Price]],-1,0)</f>
        <v>5.3433914820054532E-3</v>
      </c>
    </row>
    <row r="16" spans="1:9" x14ac:dyDescent="0.35">
      <c r="D16" vm="165">
        <f ca="1"/>
        <v>45377</v>
      </c>
      <c r="E16" vm="1204">
        <f ca="1"/>
        <v>1.2625</v>
      </c>
      <c r="G16" s="1" vm="102">
        <v>45288</v>
      </c>
      <c r="H16" s="4" vm="1191">
        <v>1.2729999999999999</v>
      </c>
      <c r="I16" s="5">
        <f ca="1">(GBPUSD[[#This Row],[Price]]-OFFSET(GBPUSD[[#This Row],[Price]],-1,0))/OFFSET(GBPUSD[[#This Row],[Price]],-1,0)</f>
        <v>-5.0023448491481812E-3</v>
      </c>
    </row>
    <row r="17" spans="4:9" x14ac:dyDescent="0.35">
      <c r="D17" vm="166">
        <f ca="1"/>
        <v>45378</v>
      </c>
      <c r="E17" vm="1205">
        <f ca="1"/>
        <v>1.2638</v>
      </c>
      <c r="G17" s="1" vm="103">
        <v>45289</v>
      </c>
      <c r="H17" s="4" vm="1176">
        <v>1.2728999999999999</v>
      </c>
      <c r="I17" s="5">
        <f ca="1">(GBPUSD[[#This Row],[Price]]-OFFSET(GBPUSD[[#This Row],[Price]],-1,0))/OFFSET(GBPUSD[[#This Row],[Price]],-1,0)</f>
        <v>-7.8554595443824815E-5</v>
      </c>
    </row>
    <row r="18" spans="4:9" x14ac:dyDescent="0.35">
      <c r="D18" vm="167">
        <f ca="1"/>
        <v>45379</v>
      </c>
      <c r="E18" vm="1206">
        <f ca="1"/>
        <v>1.2622</v>
      </c>
      <c r="G18" s="1" vm="104">
        <v>45292</v>
      </c>
      <c r="H18" s="4" vm="1207">
        <v>1.2723</v>
      </c>
      <c r="I18" s="5">
        <f ca="1">(GBPUSD[[#This Row],[Price]]-OFFSET(GBPUSD[[#This Row],[Price]],-1,0))/OFFSET(GBPUSD[[#This Row],[Price]],-1,0)</f>
        <v>-4.713646005184492E-4</v>
      </c>
    </row>
    <row r="19" spans="4:9" x14ac:dyDescent="0.35">
      <c r="D19" vm="168">
        <f ca="1"/>
        <v>45380</v>
      </c>
      <c r="E19" vm="1208">
        <f ca="1"/>
        <v>1.2623</v>
      </c>
      <c r="G19" s="1" vm="105">
        <v>45293</v>
      </c>
      <c r="H19" s="4" vm="1209">
        <v>1.2614000000000001</v>
      </c>
      <c r="I19" s="5">
        <f ca="1">(GBPUSD[[#This Row],[Price]]-OFFSET(GBPUSD[[#This Row],[Price]],-1,0))/OFFSET(GBPUSD[[#This Row],[Price]],-1,0)</f>
        <v>-8.5671618329009741E-3</v>
      </c>
    </row>
    <row r="20" spans="4:9" x14ac:dyDescent="0.35">
      <c r="D20" vm="169">
        <f ca="1"/>
        <v>45383</v>
      </c>
      <c r="E20" vm="1210">
        <f ca="1"/>
        <v>1.2549999999999999</v>
      </c>
      <c r="G20" s="1" vm="106">
        <v>45294</v>
      </c>
      <c r="H20" s="4" vm="1211">
        <v>1.2662</v>
      </c>
      <c r="I20" s="5">
        <f ca="1">(GBPUSD[[#This Row],[Price]]-OFFSET(GBPUSD[[#This Row],[Price]],-1,0))/OFFSET(GBPUSD[[#This Row],[Price]],-1,0)</f>
        <v>3.8052957031868679E-3</v>
      </c>
    </row>
    <row r="21" spans="4:9" x14ac:dyDescent="0.35">
      <c r="D21" vm="170">
        <f ca="1"/>
        <v>45384</v>
      </c>
      <c r="E21" vm="1212">
        <f ca="1"/>
        <v>1.2577</v>
      </c>
      <c r="G21" s="1" vm="107">
        <v>45295</v>
      </c>
      <c r="H21" s="4" vm="1213">
        <v>1.2679</v>
      </c>
      <c r="I21" s="5">
        <f ca="1">(GBPUSD[[#This Row],[Price]]-OFFSET(GBPUSD[[#This Row],[Price]],-1,0))/OFFSET(GBPUSD[[#This Row],[Price]],-1,0)</f>
        <v>1.3425999052282694E-3</v>
      </c>
    </row>
    <row r="22" spans="4:9" x14ac:dyDescent="0.35">
      <c r="D22" vm="171">
        <f ca="1"/>
        <v>45385</v>
      </c>
      <c r="E22" vm="1214">
        <f ca="1"/>
        <v>1.2650999999999999</v>
      </c>
      <c r="G22" s="1" vm="108">
        <v>45296</v>
      </c>
      <c r="H22" s="4" vm="1215">
        <v>1.2716000000000001</v>
      </c>
      <c r="I22" s="5">
        <f ca="1">(GBPUSD[[#This Row],[Price]]-OFFSET(GBPUSD[[#This Row],[Price]],-1,0))/OFFSET(GBPUSD[[#This Row],[Price]],-1,0)</f>
        <v>2.9182112153955646E-3</v>
      </c>
    </row>
    <row r="23" spans="4:9" x14ac:dyDescent="0.35">
      <c r="D23" vm="172">
        <f ca="1"/>
        <v>45386</v>
      </c>
      <c r="E23" vm="1216">
        <f ca="1"/>
        <v>1.264</v>
      </c>
      <c r="G23" s="1" vm="109">
        <v>45299</v>
      </c>
      <c r="H23" s="4" vm="1217">
        <v>1.2746999999999999</v>
      </c>
      <c r="I23" s="5">
        <f ca="1">(GBPUSD[[#This Row],[Price]]-OFFSET(GBPUSD[[#This Row],[Price]],-1,0))/OFFSET(GBPUSD[[#This Row],[Price]],-1,0)</f>
        <v>2.4378735451398869E-3</v>
      </c>
    </row>
    <row r="24" spans="4:9" x14ac:dyDescent="0.35">
      <c r="D24" vm="173">
        <f ca="1"/>
        <v>45387</v>
      </c>
      <c r="E24" vm="1218">
        <f ca="1"/>
        <v>1.2636000000000001</v>
      </c>
      <c r="G24" s="1" vm="110">
        <v>45300</v>
      </c>
      <c r="H24" s="4" vm="1219">
        <v>1.2705</v>
      </c>
      <c r="I24" s="5">
        <f ca="1">(GBPUSD[[#This Row],[Price]]-OFFSET(GBPUSD[[#This Row],[Price]],-1,0))/OFFSET(GBPUSD[[#This Row],[Price]],-1,0)</f>
        <v>-3.2948929159802164E-3</v>
      </c>
    </row>
    <row r="25" spans="4:9" x14ac:dyDescent="0.35">
      <c r="D25" vm="174">
        <f ca="1"/>
        <v>45390</v>
      </c>
      <c r="E25" vm="1220">
        <f ca="1"/>
        <v>1.2652000000000001</v>
      </c>
      <c r="G25" s="1" vm="111">
        <v>45301</v>
      </c>
      <c r="H25" s="4" vm="1190">
        <v>1.2739</v>
      </c>
      <c r="I25" s="5">
        <f ca="1">(GBPUSD[[#This Row],[Price]]-OFFSET(GBPUSD[[#This Row],[Price]],-1,0))/OFFSET(GBPUSD[[#This Row],[Price]],-1,0)</f>
        <v>2.6761117670209126E-3</v>
      </c>
    </row>
    <row r="26" spans="4:9" x14ac:dyDescent="0.35">
      <c r="D26" vm="175">
        <f ca="1"/>
        <v>45391</v>
      </c>
      <c r="E26" vm="1221">
        <f ca="1"/>
        <v>1.2676000000000001</v>
      </c>
      <c r="G26" s="1" vm="112">
        <v>45302</v>
      </c>
      <c r="H26" s="4" vm="1222">
        <v>1.276</v>
      </c>
      <c r="I26" s="5">
        <f ca="1">(GBPUSD[[#This Row],[Price]]-OFFSET(GBPUSD[[#This Row],[Price]],-1,0))/OFFSET(GBPUSD[[#This Row],[Price]],-1,0)</f>
        <v>1.6484810424680044E-3</v>
      </c>
    </row>
    <row r="27" spans="4:9" x14ac:dyDescent="0.35">
      <c r="D27" vm="176">
        <f ca="1"/>
        <v>45392</v>
      </c>
      <c r="E27" vm="1223">
        <f ca="1"/>
        <v>1.2531000000000001</v>
      </c>
      <c r="G27" s="1" vm="113">
        <v>45303</v>
      </c>
      <c r="H27" s="4" vm="1188">
        <v>1.2750999999999999</v>
      </c>
      <c r="I27" s="5">
        <f ca="1">(GBPUSD[[#This Row],[Price]]-OFFSET(GBPUSD[[#This Row],[Price]],-1,0))/OFFSET(GBPUSD[[#This Row],[Price]],-1,0)</f>
        <v>-7.0532915360511201E-4</v>
      </c>
    </row>
    <row r="28" spans="4:9" x14ac:dyDescent="0.35">
      <c r="D28" vm="177">
        <f ca="1"/>
        <v>45393</v>
      </c>
      <c r="E28" vm="1210">
        <f ca="1"/>
        <v>1.2549999999999999</v>
      </c>
      <c r="G28" s="1" vm="114">
        <v>45306</v>
      </c>
      <c r="H28" s="4" vm="1224">
        <v>1.2725</v>
      </c>
      <c r="I28" s="5">
        <f ca="1">(GBPUSD[[#This Row],[Price]]-OFFSET(GBPUSD[[#This Row],[Price]],-1,0))/OFFSET(GBPUSD[[#This Row],[Price]],-1,0)</f>
        <v>-2.0390557603324729E-3</v>
      </c>
    </row>
    <row r="29" spans="4:9" x14ac:dyDescent="0.35">
      <c r="D29" vm="178">
        <f ca="1"/>
        <v>45394</v>
      </c>
      <c r="E29" vm="1225">
        <f ca="1"/>
        <v>1.2450000000000001</v>
      </c>
      <c r="G29" s="1" vm="115">
        <v>45307</v>
      </c>
      <c r="H29" s="4" vm="1218">
        <v>1.2636000000000001</v>
      </c>
      <c r="I29" s="5">
        <f ca="1">(GBPUSD[[#This Row],[Price]]-OFFSET(GBPUSD[[#This Row],[Price]],-1,0))/OFFSET(GBPUSD[[#This Row],[Price]],-1,0)</f>
        <v>-6.9941060903732089E-3</v>
      </c>
    </row>
    <row r="30" spans="4:9" x14ac:dyDescent="0.35">
      <c r="D30" vm="179">
        <f ca="1"/>
        <v>45397</v>
      </c>
      <c r="E30" vm="1226">
        <f ca="1"/>
        <v>1.2444</v>
      </c>
      <c r="G30" s="1" vm="116">
        <v>45308</v>
      </c>
      <c r="H30" s="4" vm="1227">
        <v>1.2672000000000001</v>
      </c>
      <c r="I30" s="5">
        <f ca="1">(GBPUSD[[#This Row],[Price]]-OFFSET(GBPUSD[[#This Row],[Price]],-1,0))/OFFSET(GBPUSD[[#This Row],[Price]],-1,0)</f>
        <v>2.8490028490028864E-3</v>
      </c>
    </row>
    <row r="31" spans="4:9" x14ac:dyDescent="0.35">
      <c r="D31" vm="180">
        <f ca="1"/>
        <v>45398</v>
      </c>
      <c r="E31" vm="1228">
        <f ca="1"/>
        <v>1.2423999999999999</v>
      </c>
      <c r="G31" s="1" vm="117">
        <v>45309</v>
      </c>
      <c r="H31" s="4" vm="1219">
        <v>1.2705</v>
      </c>
      <c r="I31" s="5">
        <f ca="1">(GBPUSD[[#This Row],[Price]]-OFFSET(GBPUSD[[#This Row],[Price]],-1,0))/OFFSET(GBPUSD[[#This Row],[Price]],-1,0)</f>
        <v>2.6041666666665551E-3</v>
      </c>
    </row>
    <row r="32" spans="4:9" x14ac:dyDescent="0.35">
      <c r="D32" vm="181">
        <f ca="1"/>
        <v>45399</v>
      </c>
      <c r="E32" vm="1229">
        <f ca="1"/>
        <v>1.2445999999999999</v>
      </c>
      <c r="G32" s="1" vm="118">
        <v>45310</v>
      </c>
      <c r="H32" s="4" vm="1197">
        <v>1.27</v>
      </c>
      <c r="I32" s="5">
        <f ca="1">(GBPUSD[[#This Row],[Price]]-OFFSET(GBPUSD[[#This Row],[Price]],-1,0))/OFFSET(GBPUSD[[#This Row],[Price]],-1,0)</f>
        <v>-3.935458480912593E-4</v>
      </c>
    </row>
    <row r="33" spans="4:9" x14ac:dyDescent="0.35">
      <c r="D33" vm="182">
        <f ca="1"/>
        <v>45400</v>
      </c>
      <c r="E33" vm="1230">
        <f ca="1"/>
        <v>1.2435</v>
      </c>
      <c r="G33" s="1" vm="119">
        <v>45313</v>
      </c>
      <c r="H33" s="4" vm="1231">
        <v>1.2706</v>
      </c>
      <c r="I33" s="5">
        <f ca="1">(GBPUSD[[#This Row],[Price]]-OFFSET(GBPUSD[[#This Row],[Price]],-1,0))/OFFSET(GBPUSD[[#This Row],[Price]],-1,0)</f>
        <v>4.7244094488183773E-4</v>
      </c>
    </row>
    <row r="34" spans="4:9" x14ac:dyDescent="0.35">
      <c r="D34" vm="183">
        <f ca="1"/>
        <v>45401</v>
      </c>
      <c r="E34" vm="1232">
        <f ca="1"/>
        <v>1.2371000000000001</v>
      </c>
      <c r="G34" s="1" vm="120">
        <v>45314</v>
      </c>
      <c r="H34" s="4" vm="1233">
        <v>1.2686999999999999</v>
      </c>
      <c r="I34" s="5">
        <f ca="1">(GBPUSD[[#This Row],[Price]]-OFFSET(GBPUSD[[#This Row],[Price]],-1,0))/OFFSET(GBPUSD[[#This Row],[Price]],-1,0)</f>
        <v>-1.4953565244766353E-3</v>
      </c>
    </row>
    <row r="35" spans="4:9" x14ac:dyDescent="0.35">
      <c r="D35" vm="184">
        <f ca="1"/>
        <v>45404</v>
      </c>
      <c r="E35" vm="1234">
        <f ca="1"/>
        <v>1.2349000000000001</v>
      </c>
      <c r="G35" s="1" vm="121">
        <v>45315</v>
      </c>
      <c r="H35" s="4" vm="1207">
        <v>1.2723</v>
      </c>
      <c r="I35" s="5">
        <f ca="1">(GBPUSD[[#This Row],[Price]]-OFFSET(GBPUSD[[#This Row],[Price]],-1,0))/OFFSET(GBPUSD[[#This Row],[Price]],-1,0)</f>
        <v>2.8375502482856844E-3</v>
      </c>
    </row>
    <row r="36" spans="4:9" x14ac:dyDescent="0.35">
      <c r="D36" vm="185">
        <f ca="1"/>
        <v>45405</v>
      </c>
      <c r="E36" vm="1235">
        <f ca="1"/>
        <v>1.2447999999999999</v>
      </c>
      <c r="G36" s="1" vm="122">
        <v>45316</v>
      </c>
      <c r="H36" s="4" vm="1236">
        <v>1.2707999999999999</v>
      </c>
      <c r="I36" s="5">
        <f ca="1">(GBPUSD[[#This Row],[Price]]-OFFSET(GBPUSD[[#This Row],[Price]],-1,0))/OFFSET(GBPUSD[[#This Row],[Price]],-1,0)</f>
        <v>-1.1789672247111977E-3</v>
      </c>
    </row>
    <row r="37" spans="4:9" x14ac:dyDescent="0.35">
      <c r="D37" vm="186">
        <f ca="1"/>
        <v>45406</v>
      </c>
      <c r="E37" vm="1237">
        <f ca="1"/>
        <v>1.2461</v>
      </c>
      <c r="G37" s="1" vm="123">
        <v>45317</v>
      </c>
      <c r="H37" s="4" vm="1238">
        <v>1.2702</v>
      </c>
      <c r="I37" s="5">
        <f ca="1">(GBPUSD[[#This Row],[Price]]-OFFSET(GBPUSD[[#This Row],[Price]],-1,0))/OFFSET(GBPUSD[[#This Row],[Price]],-1,0)</f>
        <v>-4.7214353163356465E-4</v>
      </c>
    </row>
    <row r="38" spans="4:9" x14ac:dyDescent="0.35">
      <c r="D38" vm="187">
        <f ca="1"/>
        <v>45407</v>
      </c>
      <c r="E38" vm="1239">
        <f ca="1"/>
        <v>1.2513000000000001</v>
      </c>
      <c r="G38" s="1" vm="124">
        <v>45320</v>
      </c>
      <c r="H38" s="4" vm="1240">
        <v>1.2706999999999999</v>
      </c>
      <c r="I38" s="5">
        <f ca="1">(GBPUSD[[#This Row],[Price]]-OFFSET(GBPUSD[[#This Row],[Price]],-1,0))/OFFSET(GBPUSD[[#This Row],[Price]],-1,0)</f>
        <v>3.9363879703979292E-4</v>
      </c>
    </row>
    <row r="39" spans="4:9" x14ac:dyDescent="0.35">
      <c r="D39" vm="188">
        <f ca="1"/>
        <v>45408</v>
      </c>
      <c r="E39" vm="1241">
        <f ca="1"/>
        <v>1.2488999999999999</v>
      </c>
      <c r="G39" s="1" vm="125">
        <v>45321</v>
      </c>
      <c r="H39" s="4" vm="1242">
        <v>1.2697000000000001</v>
      </c>
      <c r="I39" s="5">
        <f ca="1">(GBPUSD[[#This Row],[Price]]-OFFSET(GBPUSD[[#This Row],[Price]],-1,0))/OFFSET(GBPUSD[[#This Row],[Price]],-1,0)</f>
        <v>-7.8696781301636101E-4</v>
      </c>
    </row>
    <row r="40" spans="4:9" x14ac:dyDescent="0.35">
      <c r="D40" vm="189">
        <f ca="1"/>
        <v>45411</v>
      </c>
      <c r="E40" vm="1181">
        <f ca="1"/>
        <v>1.2561</v>
      </c>
      <c r="G40" s="1" vm="126">
        <v>45322</v>
      </c>
      <c r="H40" s="4" vm="1243">
        <v>1.2685</v>
      </c>
      <c r="I40" s="5">
        <f ca="1">(GBPUSD[[#This Row],[Price]]-OFFSET(GBPUSD[[#This Row],[Price]],-1,0))/OFFSET(GBPUSD[[#This Row],[Price]],-1,0)</f>
        <v>-9.4510514294722362E-4</v>
      </c>
    </row>
    <row r="41" spans="4:9" x14ac:dyDescent="0.35">
      <c r="D41" vm="190">
        <f ca="1"/>
        <v>45412</v>
      </c>
      <c r="E41" vm="1244">
        <f ca="1"/>
        <v>1.2490000000000001</v>
      </c>
      <c r="G41" s="1" vm="127">
        <v>45323</v>
      </c>
      <c r="H41" s="4" vm="1245">
        <v>1.2742</v>
      </c>
      <c r="I41" s="5">
        <f ca="1">(GBPUSD[[#This Row],[Price]]-OFFSET(GBPUSD[[#This Row],[Price]],-1,0))/OFFSET(GBPUSD[[#This Row],[Price]],-1,0)</f>
        <v>4.4934962554198177E-3</v>
      </c>
    </row>
    <row r="42" spans="4:9" x14ac:dyDescent="0.35">
      <c r="D42" vm="191">
        <f ca="1"/>
        <v>45413</v>
      </c>
      <c r="E42" vm="1246">
        <f ca="1"/>
        <v>1.2524999999999999</v>
      </c>
      <c r="G42" s="1" vm="128">
        <v>45324</v>
      </c>
      <c r="H42" s="4" vm="1247">
        <v>1.2629999999999999</v>
      </c>
      <c r="I42" s="5">
        <f ca="1">(GBPUSD[[#This Row],[Price]]-OFFSET(GBPUSD[[#This Row],[Price]],-1,0))/OFFSET(GBPUSD[[#This Row],[Price]],-1,0)</f>
        <v>-8.789828912258749E-3</v>
      </c>
    </row>
    <row r="43" spans="4:9" x14ac:dyDescent="0.35">
      <c r="D43" vm="192">
        <f ca="1"/>
        <v>45414</v>
      </c>
      <c r="E43" vm="1223">
        <f ca="1"/>
        <v>1.2531000000000001</v>
      </c>
      <c r="G43" s="1" vm="129">
        <v>45327</v>
      </c>
      <c r="H43" s="4" vm="1248">
        <v>1.2532000000000001</v>
      </c>
      <c r="I43" s="5">
        <f ca="1">(GBPUSD[[#This Row],[Price]]-OFFSET(GBPUSD[[#This Row],[Price]],-1,0))/OFFSET(GBPUSD[[#This Row],[Price]],-1,0)</f>
        <v>-7.7593032462389628E-3</v>
      </c>
    </row>
    <row r="44" spans="4:9" x14ac:dyDescent="0.35">
      <c r="D44" vm="193">
        <f ca="1"/>
        <v>45415</v>
      </c>
      <c r="E44" vm="1249">
        <f ca="1"/>
        <v>1.2544</v>
      </c>
      <c r="G44" s="1" vm="130">
        <v>45328</v>
      </c>
      <c r="H44" s="4" vm="1250">
        <v>1.2597</v>
      </c>
      <c r="I44" s="5">
        <f ca="1">(GBPUSD[[#This Row],[Price]]-OFFSET(GBPUSD[[#This Row],[Price]],-1,0))/OFFSET(GBPUSD[[#This Row],[Price]],-1,0)</f>
        <v>5.1867219917012047E-3</v>
      </c>
    </row>
    <row r="45" spans="4:9" x14ac:dyDescent="0.35">
      <c r="D45" vm="194">
        <f ca="1"/>
        <v>45418</v>
      </c>
      <c r="E45" vm="1181">
        <f ca="1"/>
        <v>1.2561</v>
      </c>
      <c r="G45" s="1" vm="131">
        <v>45329</v>
      </c>
      <c r="H45" s="4" vm="1204">
        <v>1.2625</v>
      </c>
      <c r="I45" s="5">
        <f ca="1">(GBPUSD[[#This Row],[Price]]-OFFSET(GBPUSD[[#This Row],[Price]],-1,0))/OFFSET(GBPUSD[[#This Row],[Price]],-1,0)</f>
        <v>2.2227514487575721E-3</v>
      </c>
    </row>
    <row r="46" spans="4:9" x14ac:dyDescent="0.35">
      <c r="D46" vm="195">
        <f ca="1"/>
        <v>45419</v>
      </c>
      <c r="E46" vm="1251">
        <f ca="1"/>
        <v>1.2504</v>
      </c>
      <c r="G46" s="1" vm="132">
        <v>45330</v>
      </c>
      <c r="H46" s="4" vm="1252">
        <v>1.2616000000000001</v>
      </c>
      <c r="I46" s="5">
        <f ca="1">(GBPUSD[[#This Row],[Price]]-OFFSET(GBPUSD[[#This Row],[Price]],-1,0))/OFFSET(GBPUSD[[#This Row],[Price]],-1,0)</f>
        <v>-7.1287128712863436E-4</v>
      </c>
    </row>
    <row r="47" spans="4:9" x14ac:dyDescent="0.35">
      <c r="D47" vm="196">
        <f ca="1"/>
        <v>45420</v>
      </c>
      <c r="E47" vm="1253">
        <f ca="1"/>
        <v>1.2496</v>
      </c>
      <c r="G47" s="1" vm="133">
        <v>45331</v>
      </c>
      <c r="H47" s="4" vm="1254">
        <v>1.2619</v>
      </c>
      <c r="I47" s="5">
        <f ca="1">(GBPUSD[[#This Row],[Price]]-OFFSET(GBPUSD[[#This Row],[Price]],-1,0))/OFFSET(GBPUSD[[#This Row],[Price]],-1,0)</f>
        <v>2.3779327837663834E-4</v>
      </c>
    </row>
    <row r="48" spans="4:9" x14ac:dyDescent="0.35">
      <c r="D48" vm="197">
        <f ca="1"/>
        <v>45421</v>
      </c>
      <c r="E48" vm="1255">
        <f ca="1"/>
        <v>1.2522</v>
      </c>
      <c r="G48" s="1" vm="134">
        <v>45334</v>
      </c>
      <c r="H48" s="4" vm="1256">
        <v>1.2625999999999999</v>
      </c>
      <c r="I48" s="5">
        <f ca="1">(GBPUSD[[#This Row],[Price]]-OFFSET(GBPUSD[[#This Row],[Price]],-1,0))/OFFSET(GBPUSD[[#This Row],[Price]],-1,0)</f>
        <v>5.5471907441154047E-4</v>
      </c>
    </row>
    <row r="49" spans="4:9" x14ac:dyDescent="0.35">
      <c r="D49" vm="198">
        <f ca="1"/>
        <v>45422</v>
      </c>
      <c r="E49" vm="1257">
        <f ca="1"/>
        <v>1.2521</v>
      </c>
      <c r="G49" s="1" vm="135">
        <v>45335</v>
      </c>
      <c r="H49" s="4" vm="1258">
        <v>1.2588999999999999</v>
      </c>
      <c r="I49" s="5">
        <f ca="1">(GBPUSD[[#This Row],[Price]]-OFFSET(GBPUSD[[#This Row],[Price]],-1,0))/OFFSET(GBPUSD[[#This Row],[Price]],-1,0)</f>
        <v>-2.9304609535878638E-3</v>
      </c>
    </row>
    <row r="50" spans="4:9" x14ac:dyDescent="0.35">
      <c r="D50" vm="199">
        <f ca="1"/>
        <v>45425</v>
      </c>
      <c r="E50" vm="1259">
        <f ca="1"/>
        <v>1.2558</v>
      </c>
      <c r="G50" s="1" vm="136">
        <v>45336</v>
      </c>
      <c r="H50" s="4" vm="1260">
        <v>1.2565</v>
      </c>
      <c r="I50" s="5">
        <f ca="1">(GBPUSD[[#This Row],[Price]]-OFFSET(GBPUSD[[#This Row],[Price]],-1,0))/OFFSET(GBPUSD[[#This Row],[Price]],-1,0)</f>
        <v>-1.9064262451346078E-3</v>
      </c>
    </row>
    <row r="51" spans="4:9" x14ac:dyDescent="0.35">
      <c r="D51" vm="200">
        <f ca="1"/>
        <v>45426</v>
      </c>
      <c r="E51" vm="1261">
        <f ca="1"/>
        <v>1.2587999999999999</v>
      </c>
      <c r="G51" s="1" vm="137">
        <v>45337</v>
      </c>
      <c r="H51" s="4" vm="1262">
        <v>1.26</v>
      </c>
      <c r="I51" s="5">
        <f ca="1">(GBPUSD[[#This Row],[Price]]-OFFSET(GBPUSD[[#This Row],[Price]],-1,0))/OFFSET(GBPUSD[[#This Row],[Price]],-1,0)</f>
        <v>2.7855153203343087E-3</v>
      </c>
    </row>
    <row r="52" spans="4:9" x14ac:dyDescent="0.35">
      <c r="D52" vm="201">
        <f ca="1"/>
        <v>45427</v>
      </c>
      <c r="E52" vm="1243">
        <f ca="1"/>
        <v>1.2685</v>
      </c>
      <c r="G52" s="1" vm="138">
        <v>45338</v>
      </c>
      <c r="H52" s="4" vm="1263">
        <v>1.2598</v>
      </c>
      <c r="I52" s="5">
        <f ca="1">(GBPUSD[[#This Row],[Price]]-OFFSET(GBPUSD[[#This Row],[Price]],-1,0))/OFFSET(GBPUSD[[#This Row],[Price]],-1,0)</f>
        <v>-1.5873015873014125E-4</v>
      </c>
    </row>
    <row r="53" spans="4:9" x14ac:dyDescent="0.35">
      <c r="D53" vm="202">
        <f ca="1"/>
        <v>45428</v>
      </c>
      <c r="E53" vm="1264">
        <f ca="1"/>
        <v>1.2665999999999999</v>
      </c>
      <c r="G53" s="1" vm="139">
        <v>45341</v>
      </c>
      <c r="H53" s="4" vm="1265">
        <v>1.2593000000000001</v>
      </c>
      <c r="I53" s="5">
        <f ca="1">(GBPUSD[[#This Row],[Price]]-OFFSET(GBPUSD[[#This Row],[Price]],-1,0))/OFFSET(GBPUSD[[#This Row],[Price]],-1,0)</f>
        <v>-3.9688839498328699E-4</v>
      </c>
    </row>
    <row r="54" spans="4:9" x14ac:dyDescent="0.35">
      <c r="D54" vm="203">
        <f ca="1"/>
        <v>45429</v>
      </c>
      <c r="E54" vm="1266">
        <f ca="1"/>
        <v>1.2699</v>
      </c>
      <c r="G54" s="1" vm="140">
        <v>45342</v>
      </c>
      <c r="H54" s="4" vm="1183">
        <v>1.2618</v>
      </c>
      <c r="I54" s="5">
        <f ca="1">(GBPUSD[[#This Row],[Price]]-OFFSET(GBPUSD[[#This Row],[Price]],-1,0))/OFFSET(GBPUSD[[#This Row],[Price]],-1,0)</f>
        <v>1.9852298896211756E-3</v>
      </c>
    </row>
    <row r="55" spans="4:9" x14ac:dyDescent="0.35">
      <c r="D55" vm="204">
        <f ca="1"/>
        <v>45432</v>
      </c>
      <c r="E55" vm="1267">
        <f ca="1"/>
        <v>1.2704</v>
      </c>
      <c r="G55" s="1" vm="141">
        <v>45343</v>
      </c>
      <c r="H55" s="4" vm="1202">
        <v>1.2634000000000001</v>
      </c>
      <c r="I55" s="5">
        <f ca="1">(GBPUSD[[#This Row],[Price]]-OFFSET(GBPUSD[[#This Row],[Price]],-1,0))/OFFSET(GBPUSD[[#This Row],[Price]],-1,0)</f>
        <v>1.2680297987003057E-3</v>
      </c>
    </row>
    <row r="56" spans="4:9" x14ac:dyDescent="0.35">
      <c r="D56" vm="205">
        <f ca="1"/>
        <v>45433</v>
      </c>
      <c r="E56" vm="1240">
        <f ca="1"/>
        <v>1.2706999999999999</v>
      </c>
      <c r="G56" s="1" vm="142">
        <v>45344</v>
      </c>
      <c r="H56" s="4" vm="1268">
        <v>1.2659</v>
      </c>
      <c r="I56" s="5">
        <f ca="1">(GBPUSD[[#This Row],[Price]]-OFFSET(GBPUSD[[#This Row],[Price]],-1,0))/OFFSET(GBPUSD[[#This Row],[Price]],-1,0)</f>
        <v>1.9787873990818002E-3</v>
      </c>
    </row>
    <row r="57" spans="4:9" x14ac:dyDescent="0.35">
      <c r="D57" vm="206">
        <f ca="1"/>
        <v>45434</v>
      </c>
      <c r="E57" vm="1269">
        <f ca="1"/>
        <v>1.2715000000000001</v>
      </c>
      <c r="G57" s="1" vm="143">
        <v>45345</v>
      </c>
      <c r="H57" s="4" vm="1213">
        <v>1.2679</v>
      </c>
      <c r="I57" s="5">
        <f ca="1">(GBPUSD[[#This Row],[Price]]-OFFSET(GBPUSD[[#This Row],[Price]],-1,0))/OFFSET(GBPUSD[[#This Row],[Price]],-1,0)</f>
        <v>1.5799036258788229E-3</v>
      </c>
    </row>
    <row r="58" spans="4:9" x14ac:dyDescent="0.35">
      <c r="D58" vm="207">
        <f ca="1"/>
        <v>45435</v>
      </c>
      <c r="E58" vm="1242">
        <f ca="1"/>
        <v>1.2697000000000001</v>
      </c>
      <c r="G58" s="1" vm="144">
        <v>45348</v>
      </c>
      <c r="H58" s="4" vm="1270">
        <v>1.2682</v>
      </c>
      <c r="I58" s="5">
        <f ca="1">(GBPUSD[[#This Row],[Price]]-OFFSET(GBPUSD[[#This Row],[Price]],-1,0))/OFFSET(GBPUSD[[#This Row],[Price]],-1,0)</f>
        <v>2.3661172016717954E-4</v>
      </c>
    </row>
    <row r="59" spans="4:9" x14ac:dyDescent="0.35">
      <c r="D59" vm="208">
        <f ca="1"/>
        <v>45436</v>
      </c>
      <c r="E59" vm="1271">
        <f ca="1"/>
        <v>1.274</v>
      </c>
      <c r="G59" s="1" vm="145">
        <v>45349</v>
      </c>
      <c r="H59" s="4" vm="1272">
        <v>1.2683</v>
      </c>
      <c r="I59" s="5">
        <f ca="1">(GBPUSD[[#This Row],[Price]]-OFFSET(GBPUSD[[#This Row],[Price]],-1,0))/OFFSET(GBPUSD[[#This Row],[Price]],-1,0)</f>
        <v>7.8851916101552589E-5</v>
      </c>
    </row>
    <row r="60" spans="4:9" x14ac:dyDescent="0.35">
      <c r="D60" vm="209">
        <f ca="1"/>
        <v>45439</v>
      </c>
      <c r="E60" vm="1273">
        <f ca="1"/>
        <v>1.2766999999999999</v>
      </c>
      <c r="G60" s="1" vm="146">
        <v>45350</v>
      </c>
      <c r="H60" s="4" vm="1274">
        <v>1.2661</v>
      </c>
      <c r="I60" s="5">
        <f ca="1">(GBPUSD[[#This Row],[Price]]-OFFSET(GBPUSD[[#This Row],[Price]],-1,0))/OFFSET(GBPUSD[[#This Row],[Price]],-1,0)</f>
        <v>-1.7346053772766537E-3</v>
      </c>
    </row>
    <row r="61" spans="4:9" x14ac:dyDescent="0.35">
      <c r="D61" vm="210">
        <f ca="1"/>
        <v>45440</v>
      </c>
      <c r="E61" vm="1222">
        <f ca="1"/>
        <v>1.276</v>
      </c>
      <c r="G61" s="1" vm="147">
        <v>45351</v>
      </c>
      <c r="H61" s="4" vm="1208">
        <v>1.2623</v>
      </c>
      <c r="I61" s="5">
        <f ca="1">(GBPUSD[[#This Row],[Price]]-OFFSET(GBPUSD[[#This Row],[Price]],-1,0))/OFFSET(GBPUSD[[#This Row],[Price]],-1,0)</f>
        <v>-3.0013427059474179E-3</v>
      </c>
    </row>
    <row r="62" spans="4:9" x14ac:dyDescent="0.35">
      <c r="D62" vm="211">
        <f ca="1"/>
        <v>45441</v>
      </c>
      <c r="E62" vm="1240">
        <f ca="1"/>
        <v>1.2706999999999999</v>
      </c>
      <c r="G62" s="1" vm="148">
        <v>45352</v>
      </c>
      <c r="H62" s="4" vm="1275">
        <v>1.2649999999999999</v>
      </c>
      <c r="I62" s="5">
        <f ca="1">(GBPUSD[[#This Row],[Price]]-OFFSET(GBPUSD[[#This Row],[Price]],-1,0))/OFFSET(GBPUSD[[#This Row],[Price]],-1,0)</f>
        <v>2.1389527053790104E-3</v>
      </c>
    </row>
    <row r="63" spans="4:9" x14ac:dyDescent="0.35">
      <c r="D63" vm="212">
        <f ca="1"/>
        <v>45442</v>
      </c>
      <c r="E63" vm="1191">
        <f ca="1"/>
        <v>1.2729999999999999</v>
      </c>
      <c r="G63" s="1" vm="149">
        <v>45355</v>
      </c>
      <c r="H63" s="4" vm="1276">
        <v>1.2689999999999999</v>
      </c>
      <c r="I63" s="5">
        <f ca="1">(GBPUSD[[#This Row],[Price]]-OFFSET(GBPUSD[[#This Row],[Price]],-1,0))/OFFSET(GBPUSD[[#This Row],[Price]],-1,0)</f>
        <v>3.1620553359683824E-3</v>
      </c>
    </row>
    <row r="64" spans="4:9" x14ac:dyDescent="0.35">
      <c r="D64" vm="213">
        <f ca="1"/>
        <v>45443</v>
      </c>
      <c r="E64" vm="1190">
        <f ca="1"/>
        <v>1.2739</v>
      </c>
      <c r="G64" s="1" vm="150">
        <v>45356</v>
      </c>
      <c r="H64" s="4" vm="1277">
        <v>1.2703</v>
      </c>
      <c r="I64" s="5">
        <f ca="1">(GBPUSD[[#This Row],[Price]]-OFFSET(GBPUSD[[#This Row],[Price]],-1,0))/OFFSET(GBPUSD[[#This Row],[Price]],-1,0)</f>
        <v>1.0244286840032143E-3</v>
      </c>
    </row>
    <row r="65" spans="4:9" x14ac:dyDescent="0.35">
      <c r="D65" vm="214">
        <f ca="1"/>
        <v>45446</v>
      </c>
      <c r="E65" vm="1278">
        <f ca="1"/>
        <v>1.2804</v>
      </c>
      <c r="G65" s="1" vm="151">
        <v>45357</v>
      </c>
      <c r="H65" s="4" vm="1176">
        <v>1.2728999999999999</v>
      </c>
      <c r="I65" s="5">
        <f ca="1">(GBPUSD[[#This Row],[Price]]-OFFSET(GBPUSD[[#This Row],[Price]],-1,0))/OFFSET(GBPUSD[[#This Row],[Price]],-1,0)</f>
        <v>2.0467606077304067E-3</v>
      </c>
    </row>
    <row r="66" spans="4:9" x14ac:dyDescent="0.35">
      <c r="D66" vm="215">
        <f ca="1"/>
        <v>45447</v>
      </c>
      <c r="E66" vm="1279">
        <f ca="1"/>
        <v>1.2763</v>
      </c>
      <c r="G66" s="1" vm="152">
        <v>45358</v>
      </c>
      <c r="H66" s="4" vm="1178">
        <v>1.2806</v>
      </c>
      <c r="I66" s="5">
        <f ca="1">(GBPUSD[[#This Row],[Price]]-OFFSET(GBPUSD[[#This Row],[Price]],-1,0))/OFFSET(GBPUSD[[#This Row],[Price]],-1,0)</f>
        <v>6.0491790399874621E-3</v>
      </c>
    </row>
    <row r="67" spans="4:9" x14ac:dyDescent="0.35">
      <c r="D67" vm="216">
        <f ca="1"/>
        <v>45448</v>
      </c>
      <c r="E67" vm="1280">
        <f ca="1"/>
        <v>1.2785</v>
      </c>
      <c r="G67" s="1" vm="153">
        <v>45359</v>
      </c>
      <c r="H67" s="4" vm="1180">
        <v>1.2857000000000001</v>
      </c>
      <c r="I67" s="5">
        <f ca="1">(GBPUSD[[#This Row],[Price]]-OFFSET(GBPUSD[[#This Row],[Price]],-1,0))/OFFSET(GBPUSD[[#This Row],[Price]],-1,0)</f>
        <v>3.9825081992816685E-3</v>
      </c>
    </row>
    <row r="68" spans="4:9" x14ac:dyDescent="0.35">
      <c r="D68" vm="217">
        <f ca="1"/>
        <v>45449</v>
      </c>
      <c r="E68" vm="1281">
        <f ca="1"/>
        <v>1.2787999999999999</v>
      </c>
      <c r="G68" s="1" vm="154">
        <v>45362</v>
      </c>
      <c r="H68" s="4" vm="1182">
        <v>1.2811999999999999</v>
      </c>
      <c r="I68" s="5">
        <f ca="1">(GBPUSD[[#This Row],[Price]]-OFFSET(GBPUSD[[#This Row],[Price]],-1,0))/OFFSET(GBPUSD[[#This Row],[Price]],-1,0)</f>
        <v>-3.500038889321125E-3</v>
      </c>
    </row>
    <row r="69" spans="4:9" x14ac:dyDescent="0.35">
      <c r="D69" vm="218">
        <f ca="1"/>
        <v>45450</v>
      </c>
      <c r="E69" vm="1282">
        <f ca="1"/>
        <v>1.2721</v>
      </c>
      <c r="G69" s="1" vm="155">
        <v>45363</v>
      </c>
      <c r="H69" s="4" vm="1184">
        <v>1.2790999999999999</v>
      </c>
      <c r="I69" s="5">
        <f ca="1">(GBPUSD[[#This Row],[Price]]-OFFSET(GBPUSD[[#This Row],[Price]],-1,0))/OFFSET(GBPUSD[[#This Row],[Price]],-1,0)</f>
        <v>-1.6390883546674921E-3</v>
      </c>
    </row>
    <row r="70" spans="4:9" x14ac:dyDescent="0.35">
      <c r="D70" vm="219">
        <f ca="1"/>
        <v>45453</v>
      </c>
      <c r="E70" vm="1191">
        <f ca="1"/>
        <v>1.2729999999999999</v>
      </c>
      <c r="G70" s="1" vm="156">
        <v>45364</v>
      </c>
      <c r="H70" s="4" vm="1186">
        <v>1.2796000000000001</v>
      </c>
      <c r="I70" s="5">
        <f ca="1">(GBPUSD[[#This Row],[Price]]-OFFSET(GBPUSD[[#This Row],[Price]],-1,0))/OFFSET(GBPUSD[[#This Row],[Price]],-1,0)</f>
        <v>3.90899851458187E-4</v>
      </c>
    </row>
    <row r="71" spans="4:9" x14ac:dyDescent="0.35">
      <c r="D71" vm="220">
        <f ca="1"/>
        <v>45454</v>
      </c>
      <c r="E71" vm="1271">
        <f ca="1"/>
        <v>1.274</v>
      </c>
      <c r="G71" s="1" vm="157">
        <v>45365</v>
      </c>
      <c r="H71" s="4" vm="1188">
        <v>1.2750999999999999</v>
      </c>
      <c r="I71" s="5">
        <f ca="1">(GBPUSD[[#This Row],[Price]]-OFFSET(GBPUSD[[#This Row],[Price]],-1,0))/OFFSET(GBPUSD[[#This Row],[Price]],-1,0)</f>
        <v>-3.5167239762427089E-3</v>
      </c>
    </row>
    <row r="72" spans="4:9" x14ac:dyDescent="0.35">
      <c r="D72" vm="221">
        <f ca="1"/>
        <v>45455</v>
      </c>
      <c r="E72" vm="1186">
        <f ca="1"/>
        <v>1.2796000000000001</v>
      </c>
      <c r="G72" s="1" vm="158">
        <v>45366</v>
      </c>
      <c r="H72" s="4" vm="1190">
        <v>1.2739</v>
      </c>
      <c r="I72" s="5">
        <f ca="1">(GBPUSD[[#This Row],[Price]]-OFFSET(GBPUSD[[#This Row],[Price]],-1,0))/OFFSET(GBPUSD[[#This Row],[Price]],-1,0)</f>
        <v>-9.4110265861490705E-4</v>
      </c>
    </row>
    <row r="73" spans="4:9" x14ac:dyDescent="0.35">
      <c r="D73" vm="222">
        <f ca="1"/>
        <v>45456</v>
      </c>
      <c r="E73" vm="1283">
        <f ca="1"/>
        <v>1.2759</v>
      </c>
      <c r="G73" s="1" vm="159">
        <v>45369</v>
      </c>
      <c r="H73" s="4" vm="1192">
        <v>1.2726999999999999</v>
      </c>
      <c r="I73" s="5">
        <f ca="1">(GBPUSD[[#This Row],[Price]]-OFFSET(GBPUSD[[#This Row],[Price]],-1,0))/OFFSET(GBPUSD[[#This Row],[Price]],-1,0)</f>
        <v>-9.419891671246486E-4</v>
      </c>
    </row>
    <row r="74" spans="4:9" x14ac:dyDescent="0.35">
      <c r="D74" vm="223">
        <f ca="1"/>
        <v>45457</v>
      </c>
      <c r="E74" vm="1270">
        <f ca="1"/>
        <v>1.2682</v>
      </c>
      <c r="G74" s="1" vm="160">
        <v>45370</v>
      </c>
      <c r="H74" s="4" vm="1194">
        <v>1.272</v>
      </c>
      <c r="I74" s="5">
        <f ca="1">(GBPUSD[[#This Row],[Price]]-OFFSET(GBPUSD[[#This Row],[Price]],-1,0))/OFFSET(GBPUSD[[#This Row],[Price]],-1,0)</f>
        <v>-5.5001178596678156E-4</v>
      </c>
    </row>
    <row r="75" spans="4:9" x14ac:dyDescent="0.35">
      <c r="D75" vm="224">
        <f ca="1"/>
        <v>45460</v>
      </c>
      <c r="E75" vm="1277">
        <f ca="1"/>
        <v>1.2703</v>
      </c>
      <c r="G75" s="1" vm="161">
        <v>45371</v>
      </c>
      <c r="H75" s="4" vm="1196">
        <v>1.2784</v>
      </c>
      <c r="I75" s="5">
        <f ca="1">(GBPUSD[[#This Row],[Price]]-OFFSET(GBPUSD[[#This Row],[Price]],-1,0))/OFFSET(GBPUSD[[#This Row],[Price]],-1,0)</f>
        <v>5.0314465408804725E-3</v>
      </c>
    </row>
    <row r="76" spans="4:9" x14ac:dyDescent="0.35">
      <c r="D76" vm="225">
        <f ca="1"/>
        <v>45461</v>
      </c>
      <c r="E76" vm="1240">
        <f ca="1"/>
        <v>1.2706999999999999</v>
      </c>
      <c r="G76" s="1" vm="162">
        <v>45372</v>
      </c>
      <c r="H76" s="4" vm="1198">
        <v>1.2656000000000001</v>
      </c>
      <c r="I76" s="5">
        <f ca="1">(GBPUSD[[#This Row],[Price]]-OFFSET(GBPUSD[[#This Row],[Price]],-1,0))/OFFSET(GBPUSD[[#This Row],[Price]],-1,0)</f>
        <v>-1.0012515644555634E-2</v>
      </c>
    </row>
    <row r="77" spans="4:9" x14ac:dyDescent="0.35">
      <c r="D77" vm="226">
        <f ca="1"/>
        <v>45462</v>
      </c>
      <c r="E77" vm="1284">
        <f ca="1"/>
        <v>1.2717000000000001</v>
      </c>
      <c r="G77" s="1" vm="163">
        <v>45373</v>
      </c>
      <c r="H77" s="4" vm="1200">
        <v>1.2601</v>
      </c>
      <c r="I77" s="5">
        <f ca="1">(GBPUSD[[#This Row],[Price]]-OFFSET(GBPUSD[[#This Row],[Price]],-1,0))/OFFSET(GBPUSD[[#This Row],[Price]],-1,0)</f>
        <v>-4.3457648546144593E-3</v>
      </c>
    </row>
    <row r="78" spans="4:9" x14ac:dyDescent="0.35">
      <c r="D78" vm="227">
        <f ca="1"/>
        <v>45463</v>
      </c>
      <c r="E78" vm="1285">
        <f ca="1"/>
        <v>1.2655000000000001</v>
      </c>
      <c r="G78" s="1" vm="164">
        <v>45376</v>
      </c>
      <c r="H78" s="4" vm="1202">
        <v>1.2634000000000001</v>
      </c>
      <c r="I78" s="5">
        <f ca="1">(GBPUSD[[#This Row],[Price]]-OFFSET(GBPUSD[[#This Row],[Price]],-1,0))/OFFSET(GBPUSD[[#This Row],[Price]],-1,0)</f>
        <v>2.6188397746211259E-3</v>
      </c>
    </row>
    <row r="79" spans="4:9" x14ac:dyDescent="0.35">
      <c r="D79" vm="228">
        <f ca="1"/>
        <v>45464</v>
      </c>
      <c r="E79" vm="1286">
        <f ca="1"/>
        <v>1.2645</v>
      </c>
      <c r="G79" s="1" vm="165">
        <v>45377</v>
      </c>
      <c r="H79" s="4" vm="1204">
        <v>1.2625</v>
      </c>
      <c r="I79" s="5">
        <f ca="1">(GBPUSD[[#This Row],[Price]]-OFFSET(GBPUSD[[#This Row],[Price]],-1,0))/OFFSET(GBPUSD[[#This Row],[Price]],-1,0)</f>
        <v>-7.1236346366956057E-4</v>
      </c>
    </row>
    <row r="80" spans="4:9" x14ac:dyDescent="0.35">
      <c r="D80" vm="229">
        <f ca="1"/>
        <v>45467</v>
      </c>
      <c r="E80" vm="1213">
        <f ca="1"/>
        <v>1.2679</v>
      </c>
      <c r="G80" s="1" vm="166">
        <v>45378</v>
      </c>
      <c r="H80" s="4" vm="1205">
        <v>1.2638</v>
      </c>
      <c r="I80" s="5">
        <f ca="1">(GBPUSD[[#This Row],[Price]]-OFFSET(GBPUSD[[#This Row],[Price]],-1,0))/OFFSET(GBPUSD[[#This Row],[Price]],-1,0)</f>
        <v>1.0297029702970922E-3</v>
      </c>
    </row>
    <row r="81" spans="4:9" x14ac:dyDescent="0.35">
      <c r="D81" vm="230">
        <f ca="1"/>
        <v>45468</v>
      </c>
      <c r="E81" vm="1272">
        <f ca="1"/>
        <v>1.2683</v>
      </c>
      <c r="G81" s="1" vm="167">
        <v>45379</v>
      </c>
      <c r="H81" s="4" vm="1206">
        <v>1.2622</v>
      </c>
      <c r="I81" s="5">
        <f ca="1">(GBPUSD[[#This Row],[Price]]-OFFSET(GBPUSD[[#This Row],[Price]],-1,0))/OFFSET(GBPUSD[[#This Row],[Price]],-1,0)</f>
        <v>-1.2660231049217011E-3</v>
      </c>
    </row>
    <row r="82" spans="4:9" x14ac:dyDescent="0.35">
      <c r="D82" vm="231">
        <f ca="1"/>
        <v>45469</v>
      </c>
      <c r="E82" vm="1287">
        <f ca="1"/>
        <v>1.262</v>
      </c>
      <c r="G82" s="1" vm="168">
        <v>45380</v>
      </c>
      <c r="H82" s="4" vm="1208">
        <v>1.2623</v>
      </c>
      <c r="I82" s="5">
        <f ca="1">(GBPUSD[[#This Row],[Price]]-OFFSET(GBPUSD[[#This Row],[Price]],-1,0))/OFFSET(GBPUSD[[#This Row],[Price]],-1,0)</f>
        <v>7.9226746949761514E-5</v>
      </c>
    </row>
    <row r="83" spans="4:9" x14ac:dyDescent="0.35">
      <c r="D83" vm="232">
        <f ca="1"/>
        <v>45470</v>
      </c>
      <c r="E83" vm="1205">
        <f ca="1"/>
        <v>1.2638</v>
      </c>
      <c r="G83" s="1" vm="169">
        <v>45383</v>
      </c>
      <c r="H83" s="4" vm="1210">
        <v>1.2549999999999999</v>
      </c>
      <c r="I83" s="5">
        <f ca="1">(GBPUSD[[#This Row],[Price]]-OFFSET(GBPUSD[[#This Row],[Price]],-1,0))/OFFSET(GBPUSD[[#This Row],[Price]],-1,0)</f>
        <v>-5.7830943515805155E-3</v>
      </c>
    </row>
    <row r="84" spans="4:9" x14ac:dyDescent="0.35">
      <c r="D84" vm="233">
        <f ca="1"/>
        <v>45471</v>
      </c>
      <c r="E84" vm="1189">
        <f ca="1"/>
        <v>1.2642</v>
      </c>
      <c r="G84" s="1" vm="170">
        <v>45384</v>
      </c>
      <c r="H84" s="4" vm="1212">
        <v>1.2577</v>
      </c>
      <c r="I84" s="5">
        <f ca="1">(GBPUSD[[#This Row],[Price]]-OFFSET(GBPUSD[[#This Row],[Price]],-1,0))/OFFSET(GBPUSD[[#This Row],[Price]],-1,0)</f>
        <v>2.1513944223108743E-3</v>
      </c>
    </row>
    <row r="85" spans="4:9" x14ac:dyDescent="0.35">
      <c r="D85" vm="234">
        <f ca="1"/>
        <v>45474</v>
      </c>
      <c r="E85" vm="1288">
        <f ca="1"/>
        <v>1.2646999999999999</v>
      </c>
      <c r="G85" s="1" vm="171">
        <v>45385</v>
      </c>
      <c r="H85" s="4" vm="1214">
        <v>1.2650999999999999</v>
      </c>
      <c r="I85" s="5">
        <f ca="1">(GBPUSD[[#This Row],[Price]]-OFFSET(GBPUSD[[#This Row],[Price]],-1,0))/OFFSET(GBPUSD[[#This Row],[Price]],-1,0)</f>
        <v>5.8837560626539328E-3</v>
      </c>
    </row>
    <row r="86" spans="4:9" x14ac:dyDescent="0.35">
      <c r="D86" vm="235">
        <f ca="1"/>
        <v>45475</v>
      </c>
      <c r="E86" vm="1289">
        <f ca="1"/>
        <v>1.2684</v>
      </c>
      <c r="G86" s="1" vm="172">
        <v>45386</v>
      </c>
      <c r="H86" s="4" vm="1216">
        <v>1.264</v>
      </c>
      <c r="I86" s="5">
        <f ca="1">(GBPUSD[[#This Row],[Price]]-OFFSET(GBPUSD[[#This Row],[Price]],-1,0))/OFFSET(GBPUSD[[#This Row],[Price]],-1,0)</f>
        <v>-8.6949648249140695E-4</v>
      </c>
    </row>
    <row r="87" spans="4:9" x14ac:dyDescent="0.35">
      <c r="D87" vm="236">
        <f ca="1"/>
        <v>45476</v>
      </c>
      <c r="E87" vm="1271">
        <f ca="1"/>
        <v>1.274</v>
      </c>
      <c r="G87" s="1" vm="173">
        <v>45387</v>
      </c>
      <c r="H87" s="4" vm="1218">
        <v>1.2636000000000001</v>
      </c>
      <c r="I87" s="5">
        <f ca="1">(GBPUSD[[#This Row],[Price]]-OFFSET(GBPUSD[[#This Row],[Price]],-1,0))/OFFSET(GBPUSD[[#This Row],[Price]],-1,0)</f>
        <v>-3.1645569620249679E-4</v>
      </c>
    </row>
    <row r="88" spans="4:9" x14ac:dyDescent="0.35">
      <c r="D88" vm="237">
        <f ca="1"/>
        <v>45477</v>
      </c>
      <c r="E88" vm="1290">
        <f ca="1"/>
        <v>1.2757000000000001</v>
      </c>
      <c r="G88" s="1" vm="174">
        <v>45390</v>
      </c>
      <c r="H88" s="4" vm="1220">
        <v>1.2652000000000001</v>
      </c>
      <c r="I88" s="5">
        <f ca="1">(GBPUSD[[#This Row],[Price]]-OFFSET(GBPUSD[[#This Row],[Price]],-1,0))/OFFSET(GBPUSD[[#This Row],[Price]],-1,0)</f>
        <v>1.2662234884457469E-3</v>
      </c>
    </row>
    <row r="89" spans="4:9" x14ac:dyDescent="0.35">
      <c r="D89" vm="238">
        <f ca="1"/>
        <v>45478</v>
      </c>
      <c r="E89" vm="1291">
        <f ca="1"/>
        <v>1.2807999999999999</v>
      </c>
      <c r="G89" s="1" vm="175">
        <v>45391</v>
      </c>
      <c r="H89" s="4" vm="1221">
        <v>1.2676000000000001</v>
      </c>
      <c r="I89" s="5">
        <f ca="1">(GBPUSD[[#This Row],[Price]]-OFFSET(GBPUSD[[#This Row],[Price]],-1,0))/OFFSET(GBPUSD[[#This Row],[Price]],-1,0)</f>
        <v>1.8969332911792267E-3</v>
      </c>
    </row>
    <row r="90" spans="4:9" x14ac:dyDescent="0.35">
      <c r="D90" vm="239">
        <f ca="1"/>
        <v>45481</v>
      </c>
      <c r="E90" vm="1278">
        <f ca="1"/>
        <v>1.2804</v>
      </c>
      <c r="G90" s="1" vm="176">
        <v>45392</v>
      </c>
      <c r="H90" s="4" vm="1223">
        <v>1.2531000000000001</v>
      </c>
      <c r="I90" s="5">
        <f ca="1">(GBPUSD[[#This Row],[Price]]-OFFSET(GBPUSD[[#This Row],[Price]],-1,0))/OFFSET(GBPUSD[[#This Row],[Price]],-1,0)</f>
        <v>-1.1438939728620982E-2</v>
      </c>
    </row>
    <row r="91" spans="4:9" x14ac:dyDescent="0.35">
      <c r="D91" vm="240">
        <f ca="1"/>
        <v>45482</v>
      </c>
      <c r="E91" vm="1292">
        <f ca="1"/>
        <v>1.2783</v>
      </c>
      <c r="G91" s="1" vm="177">
        <v>45393</v>
      </c>
      <c r="H91" s="4" vm="1210">
        <v>1.2549999999999999</v>
      </c>
      <c r="I91" s="5">
        <f ca="1">(GBPUSD[[#This Row],[Price]]-OFFSET(GBPUSD[[#This Row],[Price]],-1,0))/OFFSET(GBPUSD[[#This Row],[Price]],-1,0)</f>
        <v>1.5162397254806406E-3</v>
      </c>
    </row>
    <row r="92" spans="4:9" x14ac:dyDescent="0.35">
      <c r="D92" vm="241">
        <f ca="1"/>
        <v>45483</v>
      </c>
      <c r="E92" vm="1293">
        <f ca="1"/>
        <v>1.2845</v>
      </c>
      <c r="G92" s="1" vm="178">
        <v>45394</v>
      </c>
      <c r="H92" s="4" vm="1225">
        <v>1.2450000000000001</v>
      </c>
      <c r="I92" s="5">
        <f ca="1">(GBPUSD[[#This Row],[Price]]-OFFSET(GBPUSD[[#This Row],[Price]],-1,0))/OFFSET(GBPUSD[[#This Row],[Price]],-1,0)</f>
        <v>-7.9681274900396722E-3</v>
      </c>
    </row>
    <row r="93" spans="4:9" x14ac:dyDescent="0.35">
      <c r="D93" vm="242">
        <f ca="1"/>
        <v>45484</v>
      </c>
      <c r="E93" vm="1294">
        <f ca="1"/>
        <v>1.2908999999999999</v>
      </c>
      <c r="G93" s="1" vm="179">
        <v>45397</v>
      </c>
      <c r="H93" s="4" vm="1226">
        <v>1.2444</v>
      </c>
      <c r="I93" s="5">
        <f ca="1">(GBPUSD[[#This Row],[Price]]-OFFSET(GBPUSD[[#This Row],[Price]],-1,0))/OFFSET(GBPUSD[[#This Row],[Price]],-1,0)</f>
        <v>-4.8192771084349875E-4</v>
      </c>
    </row>
    <row r="94" spans="4:9" x14ac:dyDescent="0.35">
      <c r="D94" vm="243">
        <f ca="1"/>
        <v>45485</v>
      </c>
      <c r="E94" vm="1295">
        <f ca="1"/>
        <v>1.2991999999999999</v>
      </c>
      <c r="G94" s="1" vm="180">
        <v>45398</v>
      </c>
      <c r="H94" s="4" vm="1228">
        <v>1.2423999999999999</v>
      </c>
      <c r="I94" s="5">
        <f ca="1">(GBPUSD[[#This Row],[Price]]-OFFSET(GBPUSD[[#This Row],[Price]],-1,0))/OFFSET(GBPUSD[[#This Row],[Price]],-1,0)</f>
        <v>-1.6072002571520425E-3</v>
      </c>
    </row>
    <row r="95" spans="4:9" x14ac:dyDescent="0.35">
      <c r="D95" vm="244">
        <f ca="1"/>
        <v>45488</v>
      </c>
      <c r="E95" vm="1296">
        <f ca="1"/>
        <v>1.2966</v>
      </c>
      <c r="G95" s="1" vm="181">
        <v>45399</v>
      </c>
      <c r="H95" s="4" vm="1229">
        <v>1.2445999999999999</v>
      </c>
      <c r="I95" s="5">
        <f ca="1">(GBPUSD[[#This Row],[Price]]-OFFSET(GBPUSD[[#This Row],[Price]],-1,0))/OFFSET(GBPUSD[[#This Row],[Price]],-1,0)</f>
        <v>1.7707662588538151E-3</v>
      </c>
    </row>
    <row r="96" spans="4:9" x14ac:dyDescent="0.35">
      <c r="D96" vm="245">
        <f ca="1"/>
        <v>45489</v>
      </c>
      <c r="E96" vm="1297">
        <f ca="1"/>
        <v>1.2965</v>
      </c>
      <c r="G96" s="1" vm="182">
        <v>45400</v>
      </c>
      <c r="H96" s="4" vm="1230">
        <v>1.2435</v>
      </c>
      <c r="I96" s="5">
        <f ca="1">(GBPUSD[[#This Row],[Price]]-OFFSET(GBPUSD[[#This Row],[Price]],-1,0))/OFFSET(GBPUSD[[#This Row],[Price]],-1,0)</f>
        <v>-8.8381809416670327E-4</v>
      </c>
    </row>
    <row r="97" spans="4:9" x14ac:dyDescent="0.35">
      <c r="D97" vm="246">
        <f ca="1"/>
        <v>45490</v>
      </c>
      <c r="E97" vm="1298">
        <f ca="1"/>
        <v>1.3008</v>
      </c>
      <c r="G97" s="1" vm="183">
        <v>45401</v>
      </c>
      <c r="H97" s="4" vm="1232">
        <v>1.2371000000000001</v>
      </c>
      <c r="I97" s="5">
        <f ca="1">(GBPUSD[[#This Row],[Price]]-OFFSET(GBPUSD[[#This Row],[Price]],-1,0))/OFFSET(GBPUSD[[#This Row],[Price]],-1,0)</f>
        <v>-5.1467631684760443E-3</v>
      </c>
    </row>
    <row r="98" spans="4:9" x14ac:dyDescent="0.35">
      <c r="D98" vm="247">
        <f ca="1"/>
        <v>45491</v>
      </c>
      <c r="E98" vm="1299">
        <f ca="1"/>
        <v>1.2941</v>
      </c>
      <c r="G98" s="1" vm="184">
        <v>45404</v>
      </c>
      <c r="H98" s="4" vm="1234">
        <v>1.2349000000000001</v>
      </c>
      <c r="I98" s="5">
        <f ca="1">(GBPUSD[[#This Row],[Price]]-OFFSET(GBPUSD[[#This Row],[Price]],-1,0))/OFFSET(GBPUSD[[#This Row],[Price]],-1,0)</f>
        <v>-1.778352598819804E-3</v>
      </c>
    </row>
    <row r="99" spans="4:9" x14ac:dyDescent="0.35">
      <c r="D99" vm="248">
        <f ca="1"/>
        <v>45492</v>
      </c>
      <c r="E99" vm="1300">
        <f ca="1"/>
        <v>1.2919</v>
      </c>
      <c r="G99" s="1" vm="185">
        <v>45405</v>
      </c>
      <c r="H99" s="4" vm="1235">
        <v>1.2447999999999999</v>
      </c>
      <c r="I99" s="5">
        <f ca="1">(GBPUSD[[#This Row],[Price]]-OFFSET(GBPUSD[[#This Row],[Price]],-1,0))/OFFSET(GBPUSD[[#This Row],[Price]],-1,0)</f>
        <v>8.0168434691066451E-3</v>
      </c>
    </row>
    <row r="100" spans="4:9" x14ac:dyDescent="0.35">
      <c r="D100" vm="249">
        <f ca="1"/>
        <v>45495</v>
      </c>
      <c r="E100" vm="1301">
        <f ca="1"/>
        <v>1.2931999999999999</v>
      </c>
      <c r="G100" s="1" vm="186">
        <v>45406</v>
      </c>
      <c r="H100" s="4" vm="1237">
        <v>1.2461</v>
      </c>
      <c r="I100" s="5">
        <f ca="1">(GBPUSD[[#This Row],[Price]]-OFFSET(GBPUSD[[#This Row],[Price]],-1,0))/OFFSET(GBPUSD[[#This Row],[Price]],-1,0)</f>
        <v>1.0443444730077755E-3</v>
      </c>
    </row>
    <row r="101" spans="4:9" x14ac:dyDescent="0.35">
      <c r="D101" vm="250">
        <f ca="1"/>
        <v>45496</v>
      </c>
      <c r="E101" vm="1302">
        <f ca="1"/>
        <v>1.2905</v>
      </c>
      <c r="G101" s="1" vm="187">
        <v>45407</v>
      </c>
      <c r="H101" s="4" vm="1239">
        <v>1.2513000000000001</v>
      </c>
      <c r="I101" s="5">
        <f ca="1">(GBPUSD[[#This Row],[Price]]-OFFSET(GBPUSD[[#This Row],[Price]],-1,0))/OFFSET(GBPUSD[[#This Row],[Price]],-1,0)</f>
        <v>4.173019821844229E-3</v>
      </c>
    </row>
    <row r="102" spans="4:9" x14ac:dyDescent="0.35">
      <c r="D102" vm="251">
        <f ca="1"/>
        <v>45497</v>
      </c>
      <c r="E102" vm="1303">
        <f ca="1"/>
        <v>1.2906</v>
      </c>
      <c r="G102" s="1" vm="188">
        <v>45408</v>
      </c>
      <c r="H102" s="4" vm="1241">
        <v>1.2488999999999999</v>
      </c>
      <c r="I102" s="5">
        <f ca="1">(GBPUSD[[#This Row],[Price]]-OFFSET(GBPUSD[[#This Row],[Price]],-1,0))/OFFSET(GBPUSD[[#This Row],[Price]],-1,0)</f>
        <v>-1.9180052745146484E-3</v>
      </c>
    </row>
    <row r="103" spans="4:9" x14ac:dyDescent="0.35">
      <c r="D103" vm="252">
        <f ca="1"/>
        <v>45498</v>
      </c>
      <c r="E103" vm="1304">
        <f ca="1"/>
        <v>1.2850999999999999</v>
      </c>
      <c r="G103" s="1" vm="189">
        <v>45411</v>
      </c>
      <c r="H103" s="4" vm="1181">
        <v>1.2561</v>
      </c>
      <c r="I103" s="5">
        <f ca="1">(GBPUSD[[#This Row],[Price]]-OFFSET(GBPUSD[[#This Row],[Price]],-1,0))/OFFSET(GBPUSD[[#This Row],[Price]],-1,0)</f>
        <v>5.7650732644728125E-3</v>
      </c>
    </row>
    <row r="104" spans="4:9" x14ac:dyDescent="0.35">
      <c r="D104" vm="1">
        <f ca="1"/>
        <v>45499</v>
      </c>
      <c r="E104" vm="1305">
        <f ca="1"/>
        <v>1.2871999999999999</v>
      </c>
      <c r="G104" s="1" vm="190">
        <v>45412</v>
      </c>
      <c r="H104" s="4" vm="1244">
        <v>1.2490000000000001</v>
      </c>
      <c r="I104" s="5">
        <f ca="1">(GBPUSD[[#This Row],[Price]]-OFFSET(GBPUSD[[#This Row],[Price]],-1,0))/OFFSET(GBPUSD[[#This Row],[Price]],-1,0)</f>
        <v>-5.6524162089004728E-3</v>
      </c>
    </row>
    <row r="105" spans="4:9" x14ac:dyDescent="0.35">
      <c r="D105" vm="2">
        <f ca="1"/>
        <v>45502</v>
      </c>
      <c r="E105" vm="1306">
        <f ca="1"/>
        <v>1.2859</v>
      </c>
      <c r="G105" s="1" vm="191">
        <v>45413</v>
      </c>
      <c r="H105" s="4" vm="1246">
        <v>1.2524999999999999</v>
      </c>
      <c r="I105" s="5">
        <f ca="1">(GBPUSD[[#This Row],[Price]]-OFFSET(GBPUSD[[#This Row],[Price]],-1,0))/OFFSET(GBPUSD[[#This Row],[Price]],-1,0)</f>
        <v>2.8022417934346166E-3</v>
      </c>
    </row>
    <row r="106" spans="4:9" x14ac:dyDescent="0.35">
      <c r="D106" vm="3">
        <f ca="1"/>
        <v>45503</v>
      </c>
      <c r="E106" vm="1307">
        <f ca="1"/>
        <v>1.2834000000000001</v>
      </c>
      <c r="G106" s="1" vm="192">
        <v>45414</v>
      </c>
      <c r="H106" s="4" vm="1223">
        <v>1.2531000000000001</v>
      </c>
      <c r="I106" s="5">
        <f ca="1">(GBPUSD[[#This Row],[Price]]-OFFSET(GBPUSD[[#This Row],[Price]],-1,0))/OFFSET(GBPUSD[[#This Row],[Price]],-1,0)</f>
        <v>4.7904191616778924E-4</v>
      </c>
    </row>
    <row r="107" spans="4:9" x14ac:dyDescent="0.35">
      <c r="D107" vm="4">
        <f ca="1"/>
        <v>45504</v>
      </c>
      <c r="E107" vm="1308">
        <f ca="1"/>
        <v>1.2856000000000001</v>
      </c>
      <c r="G107" s="1" vm="193">
        <v>45415</v>
      </c>
      <c r="H107" s="4" vm="1249">
        <v>1.2544</v>
      </c>
      <c r="I107" s="5">
        <f ca="1">(GBPUSD[[#This Row],[Price]]-OFFSET(GBPUSD[[#This Row],[Price]],-1,0))/OFFSET(GBPUSD[[#This Row],[Price]],-1,0)</f>
        <v>1.0374271805920171E-3</v>
      </c>
    </row>
    <row r="108" spans="4:9" x14ac:dyDescent="0.35">
      <c r="D108" vm="5">
        <f ca="1"/>
        <v>45505</v>
      </c>
      <c r="E108" vm="1190">
        <f ca="1"/>
        <v>1.2739</v>
      </c>
      <c r="G108" s="1" vm="194">
        <v>45418</v>
      </c>
      <c r="H108" s="4" vm="1181">
        <v>1.2561</v>
      </c>
      <c r="I108" s="5">
        <f ca="1">(GBPUSD[[#This Row],[Price]]-OFFSET(GBPUSD[[#This Row],[Price]],-1,0))/OFFSET(GBPUSD[[#This Row],[Price]],-1,0)</f>
        <v>1.3552295918367624E-3</v>
      </c>
    </row>
    <row r="109" spans="4:9" x14ac:dyDescent="0.35">
      <c r="D109" vm="6">
        <f ca="1"/>
        <v>45506</v>
      </c>
      <c r="E109" vm="1309">
        <f ca="1"/>
        <v>1.2798</v>
      </c>
      <c r="G109" s="1" vm="195">
        <v>45419</v>
      </c>
      <c r="H109" s="4" vm="1251">
        <v>1.2504</v>
      </c>
      <c r="I109" s="5">
        <f ca="1">(GBPUSD[[#This Row],[Price]]-OFFSET(GBPUSD[[#This Row],[Price]],-1,0))/OFFSET(GBPUSD[[#This Row],[Price]],-1,0)</f>
        <v>-4.5378552663004846E-3</v>
      </c>
    </row>
    <row r="110" spans="4:9" x14ac:dyDescent="0.35">
      <c r="D110" vm="7">
        <f ca="1"/>
        <v>45509</v>
      </c>
      <c r="E110" vm="1310">
        <f ca="1"/>
        <v>1.2773000000000001</v>
      </c>
      <c r="G110" s="1" vm="196">
        <v>45420</v>
      </c>
      <c r="H110" s="4" vm="1253">
        <v>1.2496</v>
      </c>
      <c r="I110" s="5">
        <f ca="1">(GBPUSD[[#This Row],[Price]]-OFFSET(GBPUSD[[#This Row],[Price]],-1,0))/OFFSET(GBPUSD[[#This Row],[Price]],-1,0)</f>
        <v>-6.397952655149648E-4</v>
      </c>
    </row>
    <row r="111" spans="4:9" x14ac:dyDescent="0.35">
      <c r="D111" vm="8">
        <f ca="1"/>
        <v>45510</v>
      </c>
      <c r="E111" vm="1199">
        <f ca="1"/>
        <v>1.2688999999999999</v>
      </c>
      <c r="G111" s="1" vm="197">
        <v>45421</v>
      </c>
      <c r="H111" s="4" vm="1255">
        <v>1.2522</v>
      </c>
      <c r="I111" s="5">
        <f ca="1">(GBPUSD[[#This Row],[Price]]-OFFSET(GBPUSD[[#This Row],[Price]],-1,0))/OFFSET(GBPUSD[[#This Row],[Price]],-1,0)</f>
        <v>2.0806658130601277E-3</v>
      </c>
    </row>
    <row r="112" spans="4:9" x14ac:dyDescent="0.35">
      <c r="D112" vm="9">
        <f ca="1"/>
        <v>45511</v>
      </c>
      <c r="E112" vm="1311">
        <f ca="1"/>
        <v>1.2690999999999999</v>
      </c>
      <c r="G112" s="1" vm="198">
        <v>45422</v>
      </c>
      <c r="H112" s="4" vm="1257">
        <v>1.2521</v>
      </c>
      <c r="I112" s="5">
        <f ca="1">(GBPUSD[[#This Row],[Price]]-OFFSET(GBPUSD[[#This Row],[Price]],-1,0))/OFFSET(GBPUSD[[#This Row],[Price]],-1,0)</f>
        <v>-7.9859447372615389E-5</v>
      </c>
    </row>
    <row r="113" spans="4:9" x14ac:dyDescent="0.35">
      <c r="D113" vm="10">
        <f ca="1"/>
        <v>45512</v>
      </c>
      <c r="E113" vm="1217">
        <f ca="1"/>
        <v>1.2746999999999999</v>
      </c>
      <c r="G113" s="1" vm="199">
        <v>45425</v>
      </c>
      <c r="H113" s="4" vm="1259">
        <v>1.2558</v>
      </c>
      <c r="I113" s="5">
        <f ca="1">(GBPUSD[[#This Row],[Price]]-OFFSET(GBPUSD[[#This Row],[Price]],-1,0))/OFFSET(GBPUSD[[#This Row],[Price]],-1,0)</f>
        <v>2.9550355402923382E-3</v>
      </c>
    </row>
    <row r="114" spans="4:9" x14ac:dyDescent="0.35">
      <c r="D114" vm="11">
        <f ca="1"/>
        <v>45513</v>
      </c>
      <c r="E114" vm="1283">
        <f ca="1"/>
        <v>1.2759</v>
      </c>
      <c r="G114" s="1" vm="200">
        <v>45426</v>
      </c>
      <c r="H114" s="4" vm="1261">
        <v>1.2587999999999999</v>
      </c>
      <c r="I114" s="5">
        <f ca="1">(GBPUSD[[#This Row],[Price]]-OFFSET(GBPUSD[[#This Row],[Price]],-1,0))/OFFSET(GBPUSD[[#This Row],[Price]],-1,0)</f>
        <v>2.3889154323936067E-3</v>
      </c>
    </row>
    <row r="115" spans="4:9" x14ac:dyDescent="0.35">
      <c r="D115" vm="12">
        <f ca="1"/>
        <v>45516</v>
      </c>
      <c r="E115" vm="1312">
        <f ca="1"/>
        <v>1.2764</v>
      </c>
      <c r="G115" s="1" vm="201">
        <v>45427</v>
      </c>
      <c r="H115" s="4" vm="1243">
        <v>1.2685</v>
      </c>
      <c r="I115" s="5">
        <f ca="1">(GBPUSD[[#This Row],[Price]]-OFFSET(GBPUSD[[#This Row],[Price]],-1,0))/OFFSET(GBPUSD[[#This Row],[Price]],-1,0)</f>
        <v>7.7057515093740406E-3</v>
      </c>
    </row>
    <row r="116" spans="4:9" x14ac:dyDescent="0.35">
      <c r="D116" vm="13">
        <f ca="1"/>
        <v>45517</v>
      </c>
      <c r="E116" vm="1180">
        <f ca="1"/>
        <v>1.2857000000000001</v>
      </c>
      <c r="G116" s="1" vm="202">
        <v>45428</v>
      </c>
      <c r="H116" s="4" vm="1264">
        <v>1.2665999999999999</v>
      </c>
      <c r="I116" s="5">
        <f ca="1">(GBPUSD[[#This Row],[Price]]-OFFSET(GBPUSD[[#This Row],[Price]],-1,0))/OFFSET(GBPUSD[[#This Row],[Price]],-1,0)</f>
        <v>-1.4978320851399391E-3</v>
      </c>
    </row>
    <row r="117" spans="4:9" x14ac:dyDescent="0.35">
      <c r="D117" vm="14">
        <f ca="1"/>
        <v>45518</v>
      </c>
      <c r="E117" vm="1313">
        <f ca="1"/>
        <v>1.2825</v>
      </c>
      <c r="G117" s="1" vm="203">
        <v>45429</v>
      </c>
      <c r="H117" s="4" vm="1266">
        <v>1.2699</v>
      </c>
      <c r="I117" s="5">
        <f ca="1">(GBPUSD[[#This Row],[Price]]-OFFSET(GBPUSD[[#This Row],[Price]],-1,0))/OFFSET(GBPUSD[[#This Row],[Price]],-1,0)</f>
        <v>2.6054002842255492E-3</v>
      </c>
    </row>
    <row r="118" spans="4:9" x14ac:dyDescent="0.35">
      <c r="D118" vm="15">
        <f ca="1"/>
        <v>45519</v>
      </c>
      <c r="E118" vm="1304">
        <f ca="1"/>
        <v>1.2850999999999999</v>
      </c>
      <c r="G118" s="1" vm="204">
        <v>45432</v>
      </c>
      <c r="H118" s="4" vm="1267">
        <v>1.2704</v>
      </c>
      <c r="I118" s="5">
        <f ca="1">(GBPUSD[[#This Row],[Price]]-OFFSET(GBPUSD[[#This Row],[Price]],-1,0))/OFFSET(GBPUSD[[#This Row],[Price]],-1,0)</f>
        <v>3.9373178990467355E-4</v>
      </c>
    </row>
    <row r="119" spans="4:9" x14ac:dyDescent="0.35">
      <c r="D119" vm="16">
        <f ca="1"/>
        <v>45520</v>
      </c>
      <c r="E119" vm="1314">
        <f ca="1"/>
        <v>1.2944</v>
      </c>
      <c r="G119" s="1" vm="205">
        <v>45433</v>
      </c>
      <c r="H119" s="4" vm="1240">
        <v>1.2706999999999999</v>
      </c>
      <c r="I119" s="5">
        <f ca="1">(GBPUSD[[#This Row],[Price]]-OFFSET(GBPUSD[[#This Row],[Price]],-1,0))/OFFSET(GBPUSD[[#This Row],[Price]],-1,0)</f>
        <v>2.3614609571785813E-4</v>
      </c>
    </row>
    <row r="120" spans="4:9" x14ac:dyDescent="0.35">
      <c r="D120" vm="17">
        <f ca="1"/>
        <v>45523</v>
      </c>
      <c r="E120" vm="1315">
        <f ca="1"/>
        <v>1.2988</v>
      </c>
      <c r="G120" s="1" vm="206">
        <v>45434</v>
      </c>
      <c r="H120" s="4" vm="1269">
        <v>1.2715000000000001</v>
      </c>
      <c r="I120" s="5">
        <f ca="1">(GBPUSD[[#This Row],[Price]]-OFFSET(GBPUSD[[#This Row],[Price]],-1,0))/OFFSET(GBPUSD[[#This Row],[Price]],-1,0)</f>
        <v>6.2957425041326352E-4</v>
      </c>
    </row>
    <row r="121" spans="4:9" x14ac:dyDescent="0.35">
      <c r="D121" vm="18">
        <f ca="1"/>
        <v>45524</v>
      </c>
      <c r="E121" vm="1316">
        <f ca="1"/>
        <v>1.3028999999999999</v>
      </c>
      <c r="G121" s="1" vm="207">
        <v>45435</v>
      </c>
      <c r="H121" s="4" vm="1242">
        <v>1.2697000000000001</v>
      </c>
      <c r="I121" s="5">
        <f ca="1">(GBPUSD[[#This Row],[Price]]-OFFSET(GBPUSD[[#This Row],[Price]],-1,0))/OFFSET(GBPUSD[[#This Row],[Price]],-1,0)</f>
        <v>-1.4156508061345056E-3</v>
      </c>
    </row>
    <row r="122" spans="4:9" x14ac:dyDescent="0.35">
      <c r="D122" vm="19">
        <f ca="1"/>
        <v>45525</v>
      </c>
      <c r="E122" vm="1317">
        <f ca="1"/>
        <v>1.3091999999999999</v>
      </c>
      <c r="G122" s="1" vm="208">
        <v>45436</v>
      </c>
      <c r="H122" s="4" vm="1271">
        <v>1.274</v>
      </c>
      <c r="I122" s="5">
        <f ca="1">(GBPUSD[[#This Row],[Price]]-OFFSET(GBPUSD[[#This Row],[Price]],-1,0))/OFFSET(GBPUSD[[#This Row],[Price]],-1,0)</f>
        <v>3.3866267622272746E-3</v>
      </c>
    </row>
    <row r="123" spans="4:9" x14ac:dyDescent="0.35">
      <c r="D123" vm="20">
        <f ca="1"/>
        <v>45526</v>
      </c>
      <c r="E123" vm="1318">
        <f ca="1"/>
        <v>1.3088</v>
      </c>
      <c r="G123" s="1" vm="209">
        <v>45439</v>
      </c>
      <c r="H123" s="4" vm="1273">
        <v>1.2766999999999999</v>
      </c>
      <c r="I123" s="5">
        <f ca="1">(GBPUSD[[#This Row],[Price]]-OFFSET(GBPUSD[[#This Row],[Price]],-1,0))/OFFSET(GBPUSD[[#This Row],[Price]],-1,0)</f>
        <v>2.1193092621663457E-3</v>
      </c>
    </row>
    <row r="124" spans="4:9" x14ac:dyDescent="0.35">
      <c r="D124" vm="21">
        <f ca="1"/>
        <v>45527</v>
      </c>
      <c r="E124" vm="1319">
        <f ca="1"/>
        <v>1.3209</v>
      </c>
      <c r="G124" s="1" vm="210">
        <v>45440</v>
      </c>
      <c r="H124" s="4" vm="1222">
        <v>1.276</v>
      </c>
      <c r="I124" s="5">
        <f ca="1">(GBPUSD[[#This Row],[Price]]-OFFSET(GBPUSD[[#This Row],[Price]],-1,0))/OFFSET(GBPUSD[[#This Row],[Price]],-1,0)</f>
        <v>-5.4828855643449751E-4</v>
      </c>
    </row>
    <row r="125" spans="4:9" x14ac:dyDescent="0.35">
      <c r="D125" vm="22">
        <f ca="1"/>
        <v>45530</v>
      </c>
      <c r="E125" vm="1320">
        <f ca="1"/>
        <v>1.319</v>
      </c>
      <c r="G125" s="1" vm="211">
        <v>45441</v>
      </c>
      <c r="H125" s="4" vm="1240">
        <v>1.2706999999999999</v>
      </c>
      <c r="I125" s="5">
        <f ca="1">(GBPUSD[[#This Row],[Price]]-OFFSET(GBPUSD[[#This Row],[Price]],-1,0))/OFFSET(GBPUSD[[#This Row],[Price]],-1,0)</f>
        <v>-4.1536050156740457E-3</v>
      </c>
    </row>
    <row r="126" spans="4:9" x14ac:dyDescent="0.35">
      <c r="D126" vm="23">
        <f ca="1"/>
        <v>45531</v>
      </c>
      <c r="E126" vm="1321">
        <f ca="1"/>
        <v>1.3254999999999999</v>
      </c>
      <c r="G126" s="1" vm="212">
        <v>45442</v>
      </c>
      <c r="H126" s="4" vm="1191">
        <v>1.2729999999999999</v>
      </c>
      <c r="I126" s="5">
        <f ca="1">(GBPUSD[[#This Row],[Price]]-OFFSET(GBPUSD[[#This Row],[Price]],-1,0))/OFFSET(GBPUSD[[#This Row],[Price]],-1,0)</f>
        <v>1.810025969937805E-3</v>
      </c>
    </row>
    <row r="127" spans="4:9" x14ac:dyDescent="0.35">
      <c r="D127" vm="24">
        <f ca="1"/>
        <v>45532</v>
      </c>
      <c r="E127" vm="1320">
        <f ca="1"/>
        <v>1.319</v>
      </c>
      <c r="G127" s="1" vm="213">
        <v>45443</v>
      </c>
      <c r="H127" s="4" vm="1190">
        <v>1.2739</v>
      </c>
      <c r="I127" s="5">
        <f ca="1">(GBPUSD[[#This Row],[Price]]-OFFSET(GBPUSD[[#This Row],[Price]],-1,0))/OFFSET(GBPUSD[[#This Row],[Price]],-1,0)</f>
        <v>7.0699135899459774E-4</v>
      </c>
    </row>
    <row r="128" spans="4:9" x14ac:dyDescent="0.35">
      <c r="D128" vm="25">
        <f ca="1"/>
        <v>45533</v>
      </c>
      <c r="E128" vm="1322">
        <f ca="1"/>
        <v>1.3168</v>
      </c>
      <c r="G128" s="1" vm="214">
        <v>45446</v>
      </c>
      <c r="H128" s="4" vm="1278">
        <v>1.2804</v>
      </c>
      <c r="I128" s="5">
        <f ca="1">(GBPUSD[[#This Row],[Price]]-OFFSET(GBPUSD[[#This Row],[Price]],-1,0))/OFFSET(GBPUSD[[#This Row],[Price]],-1,0)</f>
        <v>5.1024413219247586E-3</v>
      </c>
    </row>
    <row r="129" spans="4:9" x14ac:dyDescent="0.35">
      <c r="D129" vm="26">
        <f ca="1"/>
        <v>45534</v>
      </c>
      <c r="E129" vm="1323">
        <f ca="1"/>
        <v>1.3126</v>
      </c>
      <c r="G129" s="1" vm="215">
        <v>45447</v>
      </c>
      <c r="H129" s="4" vm="1279">
        <v>1.2763</v>
      </c>
      <c r="I129" s="5">
        <f ca="1">(GBPUSD[[#This Row],[Price]]-OFFSET(GBPUSD[[#This Row],[Price]],-1,0))/OFFSET(GBPUSD[[#This Row],[Price]],-1,0)</f>
        <v>-3.2021243361449489E-3</v>
      </c>
    </row>
    <row r="130" spans="4:9" x14ac:dyDescent="0.35">
      <c r="D130" vm="27">
        <f ca="1"/>
        <v>45537</v>
      </c>
      <c r="E130" vm="1324">
        <f ca="1"/>
        <v>1.3149</v>
      </c>
      <c r="G130" s="1" vm="216">
        <v>45448</v>
      </c>
      <c r="H130" s="4" vm="1280">
        <v>1.2785</v>
      </c>
      <c r="I130" s="5">
        <f ca="1">(GBPUSD[[#This Row],[Price]]-OFFSET(GBPUSD[[#This Row],[Price]],-1,0))/OFFSET(GBPUSD[[#This Row],[Price]],-1,0)</f>
        <v>1.7237326647339809E-3</v>
      </c>
    </row>
    <row r="131" spans="4:9" x14ac:dyDescent="0.35">
      <c r="D131" vm="28">
        <f ca="1"/>
        <v>45538</v>
      </c>
      <c r="E131" vm="1325">
        <f ca="1"/>
        <v>1.3110999999999999</v>
      </c>
      <c r="G131" s="1" vm="217">
        <v>45449</v>
      </c>
      <c r="H131" s="4" vm="1281">
        <v>1.2787999999999999</v>
      </c>
      <c r="I131" s="5">
        <f ca="1">(GBPUSD[[#This Row],[Price]]-OFFSET(GBPUSD[[#This Row],[Price]],-1,0))/OFFSET(GBPUSD[[#This Row],[Price]],-1,0)</f>
        <v>2.3464998044580912E-4</v>
      </c>
    </row>
    <row r="132" spans="4:9" x14ac:dyDescent="0.35">
      <c r="D132" vm="29">
        <f ca="1"/>
        <v>45539</v>
      </c>
      <c r="E132" vm="1326">
        <f ca="1"/>
        <v>1.3142</v>
      </c>
      <c r="G132" s="1" vm="218">
        <v>45450</v>
      </c>
      <c r="H132" s="4" vm="1282">
        <v>1.2721</v>
      </c>
      <c r="I132" s="5">
        <f ca="1">(GBPUSD[[#This Row],[Price]]-OFFSET(GBPUSD[[#This Row],[Price]],-1,0))/OFFSET(GBPUSD[[#This Row],[Price]],-1,0)</f>
        <v>-5.2392868314043856E-3</v>
      </c>
    </row>
    <row r="133" spans="4:9" x14ac:dyDescent="0.35">
      <c r="D133" vm="30">
        <f ca="1"/>
        <v>45540</v>
      </c>
      <c r="E133" vm="1327">
        <f ca="1"/>
        <v>1.3174999999999999</v>
      </c>
      <c r="G133" s="1" vm="219">
        <v>45453</v>
      </c>
      <c r="H133" s="4" vm="1191">
        <v>1.2729999999999999</v>
      </c>
      <c r="I133" s="5">
        <f ca="1">(GBPUSD[[#This Row],[Price]]-OFFSET(GBPUSD[[#This Row],[Price]],-1,0))/OFFSET(GBPUSD[[#This Row],[Price]],-1,0)</f>
        <v>7.0749154940641531E-4</v>
      </c>
    </row>
    <row r="134" spans="4:9" x14ac:dyDescent="0.35">
      <c r="D134" vm="31">
        <f ca="1"/>
        <v>45541</v>
      </c>
      <c r="E134" vm="1328">
        <f ca="1"/>
        <v>1.3123</v>
      </c>
      <c r="G134" s="1" vm="220">
        <v>45454</v>
      </c>
      <c r="H134" s="4" vm="1271">
        <v>1.274</v>
      </c>
      <c r="I134" s="5">
        <f ca="1">(GBPUSD[[#This Row],[Price]]-OFFSET(GBPUSD[[#This Row],[Price]],-1,0))/OFFSET(GBPUSD[[#This Row],[Price]],-1,0)</f>
        <v>7.8554595443842262E-4</v>
      </c>
    </row>
    <row r="135" spans="4:9" x14ac:dyDescent="0.35">
      <c r="D135" vm="32">
        <f ca="1"/>
        <v>45544</v>
      </c>
      <c r="E135" vm="1329">
        <f ca="1"/>
        <v>1.3071999999999999</v>
      </c>
      <c r="G135" s="1" vm="221">
        <v>45455</v>
      </c>
      <c r="H135" s="4" vm="1186">
        <v>1.2796000000000001</v>
      </c>
      <c r="I135" s="5">
        <f ca="1">(GBPUSD[[#This Row],[Price]]-OFFSET(GBPUSD[[#This Row],[Price]],-1,0))/OFFSET(GBPUSD[[#This Row],[Price]],-1,0)</f>
        <v>4.3956043956044346E-3</v>
      </c>
    </row>
    <row r="136" spans="4:9" x14ac:dyDescent="0.35">
      <c r="D136" vm="33">
        <f ca="1"/>
        <v>45545</v>
      </c>
      <c r="E136" vm="1330">
        <f ca="1"/>
        <v>1.3079000000000001</v>
      </c>
      <c r="G136" s="1" vm="222">
        <v>45456</v>
      </c>
      <c r="H136" s="4" vm="1283">
        <v>1.2759</v>
      </c>
      <c r="I136" s="5">
        <f ca="1">(GBPUSD[[#This Row],[Price]]-OFFSET(GBPUSD[[#This Row],[Price]],-1,0))/OFFSET(GBPUSD[[#This Row],[Price]],-1,0)</f>
        <v>-2.8915286026883684E-3</v>
      </c>
    </row>
    <row r="137" spans="4:9" x14ac:dyDescent="0.35">
      <c r="D137" vm="34">
        <f ca="1"/>
        <v>45546</v>
      </c>
      <c r="E137" vm="1331">
        <f ca="1"/>
        <v>1.3043</v>
      </c>
      <c r="G137" s="1" vm="223">
        <v>45457</v>
      </c>
      <c r="H137" s="4" vm="1270">
        <v>1.2682</v>
      </c>
      <c r="I137" s="5">
        <f ca="1">(GBPUSD[[#This Row],[Price]]-OFFSET(GBPUSD[[#This Row],[Price]],-1,0))/OFFSET(GBPUSD[[#This Row],[Price]],-1,0)</f>
        <v>-6.0349557175327535E-3</v>
      </c>
    </row>
    <row r="138" spans="4:9" x14ac:dyDescent="0.35">
      <c r="D138" vm="35">
        <f ca="1"/>
        <v>45547</v>
      </c>
      <c r="E138" vm="1328">
        <f ca="1"/>
        <v>1.3123</v>
      </c>
      <c r="G138" s="1" vm="224">
        <v>45460</v>
      </c>
      <c r="H138" s="4" vm="1277">
        <v>1.2703</v>
      </c>
      <c r="I138" s="5">
        <f ca="1">(GBPUSD[[#This Row],[Price]]-OFFSET(GBPUSD[[#This Row],[Price]],-1,0))/OFFSET(GBPUSD[[#This Row],[Price]],-1,0)</f>
        <v>1.6558902381327793E-3</v>
      </c>
    </row>
    <row r="139" spans="4:9" x14ac:dyDescent="0.35">
      <c r="D139" vm="36">
        <f ca="1"/>
        <v>45548</v>
      </c>
      <c r="E139" vm="1332">
        <f ca="1"/>
        <v>1.3122</v>
      </c>
      <c r="G139" s="1" vm="225">
        <v>45461</v>
      </c>
      <c r="H139" s="4" vm="1240">
        <v>1.2706999999999999</v>
      </c>
      <c r="I139" s="5">
        <f ca="1">(GBPUSD[[#This Row],[Price]]-OFFSET(GBPUSD[[#This Row],[Price]],-1,0))/OFFSET(GBPUSD[[#This Row],[Price]],-1,0)</f>
        <v>3.1488624734311263E-4</v>
      </c>
    </row>
    <row r="140" spans="4:9" x14ac:dyDescent="0.35">
      <c r="D140" vm="37">
        <f ca="1"/>
        <v>45551</v>
      </c>
      <c r="E140" vm="1333">
        <f ca="1"/>
        <v>1.3216000000000001</v>
      </c>
      <c r="G140" s="1" vm="226">
        <v>45462</v>
      </c>
      <c r="H140" s="4" vm="1284">
        <v>1.2717000000000001</v>
      </c>
      <c r="I140" s="5">
        <f ca="1">(GBPUSD[[#This Row],[Price]]-OFFSET(GBPUSD[[#This Row],[Price]],-1,0))/OFFSET(GBPUSD[[#This Row],[Price]],-1,0)</f>
        <v>7.8696781301653578E-4</v>
      </c>
    </row>
    <row r="141" spans="4:9" x14ac:dyDescent="0.35">
      <c r="D141" vm="38">
        <f ca="1"/>
        <v>45552</v>
      </c>
      <c r="E141" vm="1334">
        <f ca="1"/>
        <v>1.3160000000000001</v>
      </c>
      <c r="G141" s="1" vm="227">
        <v>45463</v>
      </c>
      <c r="H141" s="4" vm="1285">
        <v>1.2655000000000001</v>
      </c>
      <c r="I141" s="5">
        <f ca="1">(GBPUSD[[#This Row],[Price]]-OFFSET(GBPUSD[[#This Row],[Price]],-1,0))/OFFSET(GBPUSD[[#This Row],[Price]],-1,0)</f>
        <v>-4.8753636864040124E-3</v>
      </c>
    </row>
    <row r="142" spans="4:9" x14ac:dyDescent="0.35">
      <c r="D142" vm="39">
        <f ca="1"/>
        <v>45553</v>
      </c>
      <c r="E142" vm="1335">
        <f ca="1"/>
        <v>1.3211999999999999</v>
      </c>
      <c r="G142" s="1" vm="228">
        <v>45464</v>
      </c>
      <c r="H142" s="4" vm="1286">
        <v>1.2645</v>
      </c>
      <c r="I142" s="5">
        <f ca="1">(GBPUSD[[#This Row],[Price]]-OFFSET(GBPUSD[[#This Row],[Price]],-1,0))/OFFSET(GBPUSD[[#This Row],[Price]],-1,0)</f>
        <v>-7.9020150138294106E-4</v>
      </c>
    </row>
    <row r="143" spans="4:9" x14ac:dyDescent="0.35">
      <c r="D143" vm="40">
        <f ca="1"/>
        <v>45554</v>
      </c>
      <c r="E143" vm="1336">
        <f ca="1"/>
        <v>1.3284</v>
      </c>
      <c r="G143" s="1" vm="229">
        <v>45467</v>
      </c>
      <c r="H143" s="4" vm="1213">
        <v>1.2679</v>
      </c>
      <c r="I143" s="5">
        <f ca="1">(GBPUSD[[#This Row],[Price]]-OFFSET(GBPUSD[[#This Row],[Price]],-1,0))/OFFSET(GBPUSD[[#This Row],[Price]],-1,0)</f>
        <v>2.6888098062475838E-3</v>
      </c>
    </row>
    <row r="144" spans="4:9" x14ac:dyDescent="0.35">
      <c r="D144" vm="41">
        <f ca="1"/>
        <v>45555</v>
      </c>
      <c r="E144" vm="1337">
        <f ca="1"/>
        <v>1.3321000000000001</v>
      </c>
      <c r="G144" s="1" vm="230">
        <v>45468</v>
      </c>
      <c r="H144" s="4" vm="1272">
        <v>1.2683</v>
      </c>
      <c r="I144" s="5">
        <f ca="1">(GBPUSD[[#This Row],[Price]]-OFFSET(GBPUSD[[#This Row],[Price]],-1,0))/OFFSET(GBPUSD[[#This Row],[Price]],-1,0)</f>
        <v>3.1548229355623939E-4</v>
      </c>
    </row>
    <row r="145" spans="4:9" x14ac:dyDescent="0.35">
      <c r="D145" vm="42">
        <f ca="1"/>
        <v>45558</v>
      </c>
      <c r="E145" vm="1338">
        <f ca="1"/>
        <v>1.3346</v>
      </c>
      <c r="G145" s="1" vm="231">
        <v>45469</v>
      </c>
      <c r="H145" s="4" vm="1287">
        <v>1.262</v>
      </c>
      <c r="I145" s="5">
        <f ca="1">(GBPUSD[[#This Row],[Price]]-OFFSET(GBPUSD[[#This Row],[Price]],-1,0))/OFFSET(GBPUSD[[#This Row],[Price]],-1,0)</f>
        <v>-4.9672790349286232E-3</v>
      </c>
    </row>
    <row r="146" spans="4:9" x14ac:dyDescent="0.35">
      <c r="D146" vm="43">
        <f ca="1"/>
        <v>45559</v>
      </c>
      <c r="E146" vm="1339">
        <f ca="1"/>
        <v>1.3411999999999999</v>
      </c>
      <c r="G146" s="1" vm="232">
        <v>45470</v>
      </c>
      <c r="H146" s="4" vm="1205">
        <v>1.2638</v>
      </c>
      <c r="I146" s="5">
        <f ca="1">(GBPUSD[[#This Row],[Price]]-OFFSET(GBPUSD[[#This Row],[Price]],-1,0))/OFFSET(GBPUSD[[#This Row],[Price]],-1,0)</f>
        <v>1.4263074484944722E-3</v>
      </c>
    </row>
    <row r="147" spans="4:9" x14ac:dyDescent="0.35">
      <c r="D147" vm="44">
        <f ca="1"/>
        <v>45560</v>
      </c>
      <c r="E147" vm="1340">
        <f ca="1"/>
        <v>1.3323</v>
      </c>
      <c r="G147" s="1" vm="233">
        <v>45471</v>
      </c>
      <c r="H147" s="4" vm="1189">
        <v>1.2642</v>
      </c>
      <c r="I147" s="5">
        <f ca="1">(GBPUSD[[#This Row],[Price]]-OFFSET(GBPUSD[[#This Row],[Price]],-1,0))/OFFSET(GBPUSD[[#This Row],[Price]],-1,0)</f>
        <v>3.1650577623038132E-4</v>
      </c>
    </row>
    <row r="148" spans="4:9" x14ac:dyDescent="0.35">
      <c r="D148" vm="45">
        <f ca="1"/>
        <v>45561</v>
      </c>
      <c r="E148" vm="1341">
        <f ca="1"/>
        <v>1.3414999999999999</v>
      </c>
      <c r="G148" s="1" vm="234">
        <v>45474</v>
      </c>
      <c r="H148" s="4" vm="1288">
        <v>1.2646999999999999</v>
      </c>
      <c r="I148" s="5">
        <f ca="1">(GBPUSD[[#This Row],[Price]]-OFFSET(GBPUSD[[#This Row],[Price]],-1,0))/OFFSET(GBPUSD[[#This Row],[Price]],-1,0)</f>
        <v>3.9550704002526887E-4</v>
      </c>
    </row>
    <row r="149" spans="4:9" x14ac:dyDescent="0.35">
      <c r="D149" vm="46">
        <f ca="1"/>
        <v>45562</v>
      </c>
      <c r="E149" vm="1342">
        <f ca="1"/>
        <v>1.3372999999999999</v>
      </c>
      <c r="G149" s="1" vm="235">
        <v>45475</v>
      </c>
      <c r="H149" s="4" vm="1289">
        <v>1.2684</v>
      </c>
      <c r="I149" s="5">
        <f ca="1">(GBPUSD[[#This Row],[Price]]-OFFSET(GBPUSD[[#This Row],[Price]],-1,0))/OFFSET(GBPUSD[[#This Row],[Price]],-1,0)</f>
        <v>2.9255950027674837E-3</v>
      </c>
    </row>
    <row r="150" spans="4:9" x14ac:dyDescent="0.35">
      <c r="D150" vm="47">
        <f ca="1"/>
        <v>45565</v>
      </c>
      <c r="E150" vm="1343">
        <f ca="1"/>
        <v>1.337</v>
      </c>
      <c r="G150" s="1" vm="236">
        <v>45476</v>
      </c>
      <c r="H150" s="4" vm="1271">
        <v>1.274</v>
      </c>
      <c r="I150" s="5">
        <f ca="1">(GBPUSD[[#This Row],[Price]]-OFFSET(GBPUSD[[#This Row],[Price]],-1,0))/OFFSET(GBPUSD[[#This Row],[Price]],-1,0)</f>
        <v>4.4150110375276328E-3</v>
      </c>
    </row>
    <row r="151" spans="4:9" x14ac:dyDescent="0.35">
      <c r="D151" vm="48">
        <f ca="1"/>
        <v>45566</v>
      </c>
      <c r="E151" vm="1344">
        <f ca="1"/>
        <v>1.3285</v>
      </c>
      <c r="G151" s="1" vm="237">
        <v>45477</v>
      </c>
      <c r="H151" s="4" vm="1290">
        <v>1.2757000000000001</v>
      </c>
      <c r="I151" s="5">
        <f ca="1">(GBPUSD[[#This Row],[Price]]-OFFSET(GBPUSD[[#This Row],[Price]],-1,0))/OFFSET(GBPUSD[[#This Row],[Price]],-1,0)</f>
        <v>1.3343799058085045E-3</v>
      </c>
    </row>
    <row r="152" spans="4:9" x14ac:dyDescent="0.35">
      <c r="D152" vm="49">
        <f ca="1"/>
        <v>45567</v>
      </c>
      <c r="E152" vm="1345">
        <f ca="1"/>
        <v>1.3267</v>
      </c>
      <c r="G152" s="1" vm="238">
        <v>45478</v>
      </c>
      <c r="H152" s="4" vm="1291">
        <v>1.2807999999999999</v>
      </c>
      <c r="I152" s="5">
        <f ca="1">(GBPUSD[[#This Row],[Price]]-OFFSET(GBPUSD[[#This Row],[Price]],-1,0))/OFFSET(GBPUSD[[#This Row],[Price]],-1,0)</f>
        <v>3.9978051265970697E-3</v>
      </c>
    </row>
    <row r="153" spans="4:9" x14ac:dyDescent="0.35">
      <c r="D153" vm="50">
        <f ca="1"/>
        <v>45568</v>
      </c>
      <c r="E153" vm="1346">
        <f ca="1"/>
        <v>1.3124</v>
      </c>
      <c r="G153" s="1" vm="239">
        <v>45481</v>
      </c>
      <c r="H153" s="4" vm="1278">
        <v>1.2804</v>
      </c>
      <c r="I153" s="5">
        <f ca="1">(GBPUSD[[#This Row],[Price]]-OFFSET(GBPUSD[[#This Row],[Price]],-1,0))/OFFSET(GBPUSD[[#This Row],[Price]],-1,0)</f>
        <v>-3.1230480949403182E-4</v>
      </c>
    </row>
    <row r="154" spans="4:9" x14ac:dyDescent="0.35">
      <c r="D154" vm="51">
        <f ca="1"/>
        <v>45569</v>
      </c>
      <c r="E154" vm="1347">
        <f ca="1"/>
        <v>1.3116000000000001</v>
      </c>
      <c r="G154" s="1" vm="240">
        <v>45482</v>
      </c>
      <c r="H154" s="4" vm="1292">
        <v>1.2783</v>
      </c>
      <c r="I154" s="5">
        <f ca="1">(GBPUSD[[#This Row],[Price]]-OFFSET(GBPUSD[[#This Row],[Price]],-1,0))/OFFSET(GBPUSD[[#This Row],[Price]],-1,0)</f>
        <v>-1.6401124648547257E-3</v>
      </c>
    </row>
    <row r="155" spans="4:9" x14ac:dyDescent="0.35">
      <c r="D155" vm="52">
        <f ca="1"/>
        <v>45572</v>
      </c>
      <c r="E155" vm="1348">
        <f ca="1"/>
        <v>1.3083</v>
      </c>
      <c r="G155" s="1" vm="241">
        <v>45483</v>
      </c>
      <c r="H155" s="4" vm="1293">
        <v>1.2845</v>
      </c>
      <c r="I155" s="5">
        <f ca="1">(GBPUSD[[#This Row],[Price]]-OFFSET(GBPUSD[[#This Row],[Price]],-1,0))/OFFSET(GBPUSD[[#This Row],[Price]],-1,0)</f>
        <v>4.8501916607994865E-3</v>
      </c>
    </row>
    <row r="156" spans="4:9" x14ac:dyDescent="0.35">
      <c r="D156" vm="53">
        <f ca="1"/>
        <v>45573</v>
      </c>
      <c r="E156" vm="1349">
        <f ca="1"/>
        <v>1.3104</v>
      </c>
      <c r="G156" s="1" vm="242">
        <v>45484</v>
      </c>
      <c r="H156" s="4" vm="1294">
        <v>1.2908999999999999</v>
      </c>
      <c r="I156" s="5">
        <f ca="1">(GBPUSD[[#This Row],[Price]]-OFFSET(GBPUSD[[#This Row],[Price]],-1,0))/OFFSET(GBPUSD[[#This Row],[Price]],-1,0)</f>
        <v>4.9824834565978682E-3</v>
      </c>
    </row>
    <row r="157" spans="4:9" x14ac:dyDescent="0.35">
      <c r="D157" vm="54">
        <f ca="1"/>
        <v>45574</v>
      </c>
      <c r="E157" vm="1350">
        <f ca="1"/>
        <v>1.3069999999999999</v>
      </c>
      <c r="G157" s="1" vm="243">
        <v>45485</v>
      </c>
      <c r="H157" s="4" vm="1295">
        <v>1.2991999999999999</v>
      </c>
      <c r="I157" s="5">
        <f ca="1">(GBPUSD[[#This Row],[Price]]-OFFSET(GBPUSD[[#This Row],[Price]],-1,0))/OFFSET(GBPUSD[[#This Row],[Price]],-1,0)</f>
        <v>6.4296227438221196E-3</v>
      </c>
    </row>
    <row r="158" spans="4:9" x14ac:dyDescent="0.35">
      <c r="D158" vm="55">
        <f ca="1"/>
        <v>45575</v>
      </c>
      <c r="E158" vm="1351">
        <f ca="1"/>
        <v>1.3058000000000001</v>
      </c>
      <c r="G158" s="1" vm="244">
        <v>45488</v>
      </c>
      <c r="H158" s="4" vm="1296">
        <v>1.2966</v>
      </c>
      <c r="I158" s="5">
        <f ca="1">(GBPUSD[[#This Row],[Price]]-OFFSET(GBPUSD[[#This Row],[Price]],-1,0))/OFFSET(GBPUSD[[#This Row],[Price]],-1,0)</f>
        <v>-2.0012315270935468E-3</v>
      </c>
    </row>
    <row r="159" spans="4:9" x14ac:dyDescent="0.35">
      <c r="D159" vm="56">
        <f ca="1"/>
        <v>45576</v>
      </c>
      <c r="E159" vm="1352">
        <f ca="1"/>
        <v>1.3066</v>
      </c>
      <c r="G159" s="1" vm="245">
        <v>45489</v>
      </c>
      <c r="H159" s="4" vm="1297">
        <v>1.2965</v>
      </c>
      <c r="I159" s="5">
        <f ca="1">(GBPUSD[[#This Row],[Price]]-OFFSET(GBPUSD[[#This Row],[Price]],-1,0))/OFFSET(GBPUSD[[#This Row],[Price]],-1,0)</f>
        <v>-7.7124787906824761E-5</v>
      </c>
    </row>
    <row r="160" spans="4:9" x14ac:dyDescent="0.35">
      <c r="D160" vm="57">
        <f ca="1"/>
        <v>45579</v>
      </c>
      <c r="E160" vm="1353">
        <f ca="1"/>
        <v>1.3059000000000001</v>
      </c>
      <c r="G160" s="1" vm="246">
        <v>45490</v>
      </c>
      <c r="H160" s="4" vm="1298">
        <v>1.3008</v>
      </c>
      <c r="I160" s="5">
        <f ca="1">(GBPUSD[[#This Row],[Price]]-OFFSET(GBPUSD[[#This Row],[Price]],-1,0))/OFFSET(GBPUSD[[#This Row],[Price]],-1,0)</f>
        <v>3.3166216737369617E-3</v>
      </c>
    </row>
    <row r="161" spans="4:9" x14ac:dyDescent="0.35">
      <c r="D161" vm="58">
        <f ca="1"/>
        <v>45580</v>
      </c>
      <c r="E161" vm="1329">
        <f ca="1"/>
        <v>1.3071999999999999</v>
      </c>
      <c r="G161" s="1" vm="247">
        <v>45491</v>
      </c>
      <c r="H161" s="4" vm="1299">
        <v>1.2941</v>
      </c>
      <c r="I161" s="5">
        <f ca="1">(GBPUSD[[#This Row],[Price]]-OFFSET(GBPUSD[[#This Row],[Price]],-1,0))/OFFSET(GBPUSD[[#This Row],[Price]],-1,0)</f>
        <v>-5.1506765067650126E-3</v>
      </c>
    </row>
    <row r="162" spans="4:9" x14ac:dyDescent="0.35">
      <c r="D162" vm="59">
        <f ca="1"/>
        <v>45581</v>
      </c>
      <c r="E162" vm="1354">
        <f ca="1"/>
        <v>1.2989999999999999</v>
      </c>
      <c r="G162" s="1" vm="248">
        <v>45492</v>
      </c>
      <c r="H162" s="4" vm="1300">
        <v>1.2919</v>
      </c>
      <c r="I162" s="5">
        <f ca="1">(GBPUSD[[#This Row],[Price]]-OFFSET(GBPUSD[[#This Row],[Price]],-1,0))/OFFSET(GBPUSD[[#This Row],[Price]],-1,0)</f>
        <v>-1.7000231821342861E-3</v>
      </c>
    </row>
    <row r="163" spans="4:9" x14ac:dyDescent="0.35">
      <c r="D163" vm="60">
        <f ca="1"/>
        <v>45582</v>
      </c>
      <c r="E163" vm="1355">
        <f ca="1"/>
        <v>1.3009999999999999</v>
      </c>
      <c r="G163" s="1" vm="249">
        <v>45495</v>
      </c>
      <c r="H163" s="4" vm="1301">
        <v>1.2931999999999999</v>
      </c>
      <c r="I163" s="5">
        <f ca="1">(GBPUSD[[#This Row],[Price]]-OFFSET(GBPUSD[[#This Row],[Price]],-1,0))/OFFSET(GBPUSD[[#This Row],[Price]],-1,0)</f>
        <v>1.0062698351264469E-3</v>
      </c>
    </row>
    <row r="164" spans="4:9" x14ac:dyDescent="0.35">
      <c r="D164" vm="61">
        <f ca="1"/>
        <v>45583</v>
      </c>
      <c r="E164" vm="1356">
        <f ca="1"/>
        <v>1.3048</v>
      </c>
      <c r="G164" s="1" vm="250">
        <v>45496</v>
      </c>
      <c r="H164" s="4" vm="1302">
        <v>1.2905</v>
      </c>
      <c r="I164" s="5">
        <f ca="1">(GBPUSD[[#This Row],[Price]]-OFFSET(GBPUSD[[#This Row],[Price]],-1,0))/OFFSET(GBPUSD[[#This Row],[Price]],-1,0)</f>
        <v>-2.087844107639905E-3</v>
      </c>
    </row>
    <row r="165" spans="4:9" x14ac:dyDescent="0.35">
      <c r="D165" vm="62">
        <f ca="1"/>
        <v>45586</v>
      </c>
      <c r="E165" vm="1357">
        <f ca="1"/>
        <v>1.2984</v>
      </c>
      <c r="G165" s="1" vm="251">
        <v>45497</v>
      </c>
      <c r="H165" s="4" vm="1303">
        <v>1.2906</v>
      </c>
      <c r="I165" s="5">
        <f ca="1">(GBPUSD[[#This Row],[Price]]-OFFSET(GBPUSD[[#This Row],[Price]],-1,0))/OFFSET(GBPUSD[[#This Row],[Price]],-1,0)</f>
        <v>7.7489345215024403E-5</v>
      </c>
    </row>
    <row r="166" spans="4:9" x14ac:dyDescent="0.35">
      <c r="D166" vm="63">
        <f ca="1"/>
        <v>45587</v>
      </c>
      <c r="E166" vm="1358">
        <f ca="1"/>
        <v>1.2983</v>
      </c>
      <c r="G166" s="1" vm="252">
        <v>45498</v>
      </c>
      <c r="H166" s="4" vm="1304">
        <v>1.2850999999999999</v>
      </c>
      <c r="I166" s="5">
        <f ca="1">(GBPUSD[[#This Row],[Price]]-OFFSET(GBPUSD[[#This Row],[Price]],-1,0))/OFFSET(GBPUSD[[#This Row],[Price]],-1,0)</f>
        <v>-4.2615837594917562E-3</v>
      </c>
    </row>
    <row r="167" spans="4:9" x14ac:dyDescent="0.35">
      <c r="D167" vm="64">
        <f ca="1"/>
        <v>45588</v>
      </c>
      <c r="E167" vm="1359">
        <f ca="1"/>
        <v>1.292</v>
      </c>
      <c r="G167" s="1" vm="1">
        <v>45499</v>
      </c>
      <c r="H167" s="4" vm="1305">
        <v>1.2871999999999999</v>
      </c>
      <c r="I167" s="5">
        <f ca="1">(GBPUSD[[#This Row],[Price]]-OFFSET(GBPUSD[[#This Row],[Price]],-1,0))/OFFSET(GBPUSD[[#This Row],[Price]],-1,0)</f>
        <v>1.6341140767255396E-3</v>
      </c>
    </row>
    <row r="168" spans="4:9" x14ac:dyDescent="0.35">
      <c r="D168" vm="65">
        <f ca="1"/>
        <v>45589</v>
      </c>
      <c r="E168" vm="1360">
        <f ca="1"/>
        <v>1.2971999999999999</v>
      </c>
      <c r="G168" s="1" vm="2">
        <v>45502</v>
      </c>
      <c r="H168" s="4" vm="1306">
        <v>1.2859</v>
      </c>
      <c r="I168" s="5">
        <f ca="1">(GBPUSD[[#This Row],[Price]]-OFFSET(GBPUSD[[#This Row],[Price]],-1,0))/OFFSET(GBPUSD[[#This Row],[Price]],-1,0)</f>
        <v>-1.0099440646363089E-3</v>
      </c>
    </row>
    <row r="169" spans="4:9" x14ac:dyDescent="0.35">
      <c r="D169" vm="66">
        <f ca="1"/>
        <v>45590</v>
      </c>
      <c r="E169" vm="1361">
        <f ca="1"/>
        <v>1.2959000000000001</v>
      </c>
      <c r="G169" s="1" vm="3">
        <v>45503</v>
      </c>
      <c r="H169" s="4" vm="1307">
        <v>1.2834000000000001</v>
      </c>
      <c r="I169" s="5">
        <f ca="1">(GBPUSD[[#This Row],[Price]]-OFFSET(GBPUSD[[#This Row],[Price]],-1,0))/OFFSET(GBPUSD[[#This Row],[Price]],-1,0)</f>
        <v>-1.9441636208102858E-3</v>
      </c>
    </row>
    <row r="170" spans="4:9" x14ac:dyDescent="0.35">
      <c r="D170" vm="67">
        <f ca="1"/>
        <v>45593</v>
      </c>
      <c r="E170" vm="1362">
        <f ca="1"/>
        <v>1.2970999999999999</v>
      </c>
      <c r="G170" s="1" vm="4">
        <v>45504</v>
      </c>
      <c r="H170" s="4" vm="1308">
        <v>1.2856000000000001</v>
      </c>
      <c r="I170" s="5">
        <f ca="1">(GBPUSD[[#This Row],[Price]]-OFFSET(GBPUSD[[#This Row],[Price]],-1,0))/OFFSET(GBPUSD[[#This Row],[Price]],-1,0)</f>
        <v>1.7141966651082901E-3</v>
      </c>
    </row>
    <row r="171" spans="4:9" x14ac:dyDescent="0.35">
      <c r="D171" vm="68">
        <f ca="1"/>
        <v>45594</v>
      </c>
      <c r="E171" vm="1363">
        <f ca="1"/>
        <v>1.3015000000000001</v>
      </c>
      <c r="G171" s="1" vm="5">
        <v>45505</v>
      </c>
      <c r="H171" s="4" vm="1190">
        <v>1.2739</v>
      </c>
      <c r="I171" s="5">
        <f ca="1">(GBPUSD[[#This Row],[Price]]-OFFSET(GBPUSD[[#This Row],[Price]],-1,0))/OFFSET(GBPUSD[[#This Row],[Price]],-1,0)</f>
        <v>-9.1008089607965484E-3</v>
      </c>
    </row>
    <row r="172" spans="4:9" x14ac:dyDescent="0.35">
      <c r="D172" vm="69">
        <f ca="1"/>
        <v>45595</v>
      </c>
      <c r="E172" vm="1364">
        <f ca="1"/>
        <v>1.2962</v>
      </c>
      <c r="G172" s="1" vm="6">
        <v>45506</v>
      </c>
      <c r="H172" s="4" vm="1309">
        <v>1.2798</v>
      </c>
      <c r="I172" s="5">
        <f ca="1">(GBPUSD[[#This Row],[Price]]-OFFSET(GBPUSD[[#This Row],[Price]],-1,0))/OFFSET(GBPUSD[[#This Row],[Price]],-1,0)</f>
        <v>4.6314467383625213E-3</v>
      </c>
    </row>
    <row r="173" spans="4:9" x14ac:dyDescent="0.35">
      <c r="D173" vm="70">
        <f ca="1"/>
        <v>45596</v>
      </c>
      <c r="E173" vm="1365">
        <f ca="1"/>
        <v>1.2898000000000001</v>
      </c>
      <c r="G173" s="1" vm="7">
        <v>45509</v>
      </c>
      <c r="H173" s="4" vm="1310">
        <v>1.2773000000000001</v>
      </c>
      <c r="I173" s="5">
        <f ca="1">(GBPUSD[[#This Row],[Price]]-OFFSET(GBPUSD[[#This Row],[Price]],-1,0))/OFFSET(GBPUSD[[#This Row],[Price]],-1,0)</f>
        <v>-1.9534302234723759E-3</v>
      </c>
    </row>
    <row r="174" spans="4:9" x14ac:dyDescent="0.35">
      <c r="D174" vm="71">
        <f ca="1"/>
        <v>45597</v>
      </c>
      <c r="E174" vm="1366">
        <f ca="1"/>
        <v>1.2926</v>
      </c>
      <c r="G174" s="1" vm="8">
        <v>45510</v>
      </c>
      <c r="H174" s="4" vm="1199">
        <v>1.2688999999999999</v>
      </c>
      <c r="I174" s="5">
        <f ca="1">(GBPUSD[[#This Row],[Price]]-OFFSET(GBPUSD[[#This Row],[Price]],-1,0))/OFFSET(GBPUSD[[#This Row],[Price]],-1,0)</f>
        <v>-6.576372034760968E-3</v>
      </c>
    </row>
    <row r="175" spans="4:9" x14ac:dyDescent="0.35">
      <c r="D175" vm="72">
        <f ca="1"/>
        <v>45600</v>
      </c>
      <c r="E175" vm="1367">
        <f ca="1"/>
        <v>1.2957000000000001</v>
      </c>
      <c r="G175" s="1" vm="9">
        <v>45511</v>
      </c>
      <c r="H175" s="4" vm="1311">
        <v>1.2690999999999999</v>
      </c>
      <c r="I175" s="5">
        <f ca="1">(GBPUSD[[#This Row],[Price]]-OFFSET(GBPUSD[[#This Row],[Price]],-1,0))/OFFSET(GBPUSD[[#This Row],[Price]],-1,0)</f>
        <v>1.5761683347779808E-4</v>
      </c>
    </row>
    <row r="176" spans="4:9" x14ac:dyDescent="0.35">
      <c r="D176" vm="73">
        <f ca="1"/>
        <v>45601</v>
      </c>
      <c r="E176" vm="1368">
        <f ca="1"/>
        <v>1.3041</v>
      </c>
      <c r="G176" s="1" vm="10">
        <v>45512</v>
      </c>
      <c r="H176" s="4" vm="1217">
        <v>1.2746999999999999</v>
      </c>
      <c r="I176" s="5">
        <f ca="1">(GBPUSD[[#This Row],[Price]]-OFFSET(GBPUSD[[#This Row],[Price]],-1,0))/OFFSET(GBPUSD[[#This Row],[Price]],-1,0)</f>
        <v>4.4125758411473091E-3</v>
      </c>
    </row>
    <row r="177" spans="4:9" x14ac:dyDescent="0.35">
      <c r="D177" vm="74">
        <f ca="1"/>
        <v>45602</v>
      </c>
      <c r="E177" vm="1369">
        <f ca="1"/>
        <v>1.2878000000000001</v>
      </c>
      <c r="G177" s="1" vm="11">
        <v>45513</v>
      </c>
      <c r="H177" s="4" vm="1283">
        <v>1.2759</v>
      </c>
      <c r="I177" s="5">
        <f ca="1">(GBPUSD[[#This Row],[Price]]-OFFSET(GBPUSD[[#This Row],[Price]],-1,0))/OFFSET(GBPUSD[[#This Row],[Price]],-1,0)</f>
        <v>9.4139797599442218E-4</v>
      </c>
    </row>
    <row r="178" spans="4:9" x14ac:dyDescent="0.35">
      <c r="D178" vm="75">
        <f ca="1"/>
        <v>45603</v>
      </c>
      <c r="E178" vm="1370">
        <f ca="1"/>
        <v>1.2986</v>
      </c>
      <c r="G178" s="1" vm="12">
        <v>45516</v>
      </c>
      <c r="H178" s="4" vm="1312">
        <v>1.2764</v>
      </c>
      <c r="I178" s="5">
        <f ca="1">(GBPUSD[[#This Row],[Price]]-OFFSET(GBPUSD[[#This Row],[Price]],-1,0))/OFFSET(GBPUSD[[#This Row],[Price]],-1,0)</f>
        <v>3.9188024139818551E-4</v>
      </c>
    </row>
    <row r="179" spans="4:9" x14ac:dyDescent="0.35">
      <c r="D179" vm="76">
        <f ca="1"/>
        <v>45604</v>
      </c>
      <c r="E179" vm="1371">
        <f ca="1"/>
        <v>1.2921</v>
      </c>
      <c r="G179" s="1" vm="13">
        <v>45517</v>
      </c>
      <c r="H179" s="4" vm="1180">
        <v>1.2857000000000001</v>
      </c>
      <c r="I179" s="5">
        <f ca="1">(GBPUSD[[#This Row],[Price]]-OFFSET(GBPUSD[[#This Row],[Price]],-1,0))/OFFSET(GBPUSD[[#This Row],[Price]],-1,0)</f>
        <v>7.286117204638112E-3</v>
      </c>
    </row>
    <row r="180" spans="4:9" x14ac:dyDescent="0.35">
      <c r="D180" vm="77">
        <f ca="1"/>
        <v>45607</v>
      </c>
      <c r="E180" vm="1372">
        <f ca="1"/>
        <v>1.2868999999999999</v>
      </c>
      <c r="G180" s="1" vm="14">
        <v>45518</v>
      </c>
      <c r="H180" s="4" vm="1313">
        <v>1.2825</v>
      </c>
      <c r="I180" s="5">
        <f ca="1">(GBPUSD[[#This Row],[Price]]-OFFSET(GBPUSD[[#This Row],[Price]],-1,0))/OFFSET(GBPUSD[[#This Row],[Price]],-1,0)</f>
        <v>-2.4889165435172216E-3</v>
      </c>
    </row>
    <row r="181" spans="4:9" x14ac:dyDescent="0.35">
      <c r="D181" vm="78">
        <f ca="1"/>
        <v>45608</v>
      </c>
      <c r="E181" vm="1217">
        <f ca="1"/>
        <v>1.2746999999999999</v>
      </c>
      <c r="G181" s="1" vm="15">
        <v>45519</v>
      </c>
      <c r="H181" s="4" vm="1304">
        <v>1.2850999999999999</v>
      </c>
      <c r="I181" s="5">
        <f ca="1">(GBPUSD[[#This Row],[Price]]-OFFSET(GBPUSD[[#This Row],[Price]],-1,0))/OFFSET(GBPUSD[[#This Row],[Price]],-1,0)</f>
        <v>2.02729044834303E-3</v>
      </c>
    </row>
    <row r="182" spans="4:9" x14ac:dyDescent="0.35">
      <c r="D182" vm="79">
        <f ca="1"/>
        <v>45609</v>
      </c>
      <c r="E182" vm="1277">
        <f ca="1"/>
        <v>1.2703</v>
      </c>
      <c r="G182" s="1" vm="16">
        <v>45520</v>
      </c>
      <c r="H182" s="4" vm="1314">
        <v>1.2944</v>
      </c>
      <c r="I182" s="5">
        <f ca="1">(GBPUSD[[#This Row],[Price]]-OFFSET(GBPUSD[[#This Row],[Price]],-1,0))/OFFSET(GBPUSD[[#This Row],[Price]],-1,0)</f>
        <v>7.2367909112132029E-3</v>
      </c>
    </row>
    <row r="183" spans="4:9" x14ac:dyDescent="0.35">
      <c r="D183" vm="80">
        <f ca="1"/>
        <v>45610</v>
      </c>
      <c r="E183" vm="1373">
        <f ca="1"/>
        <v>1.2665</v>
      </c>
      <c r="G183" s="1" vm="17">
        <v>45523</v>
      </c>
      <c r="H183" s="4" vm="1315">
        <v>1.2988</v>
      </c>
      <c r="I183" s="5">
        <f ca="1">(GBPUSD[[#This Row],[Price]]-OFFSET(GBPUSD[[#This Row],[Price]],-1,0))/OFFSET(GBPUSD[[#This Row],[Price]],-1,0)</f>
        <v>3.3992583436340848E-3</v>
      </c>
    </row>
    <row r="184" spans="4:9" x14ac:dyDescent="0.35">
      <c r="D184" vm="81">
        <f ca="1"/>
        <v>45611</v>
      </c>
      <c r="E184" vm="1374">
        <f ca="1"/>
        <v>1.2617</v>
      </c>
      <c r="G184" s="1" vm="18">
        <v>45524</v>
      </c>
      <c r="H184" s="4" vm="1316">
        <v>1.3028999999999999</v>
      </c>
      <c r="I184" s="5">
        <f ca="1">(GBPUSD[[#This Row],[Price]]-OFFSET(GBPUSD[[#This Row],[Price]],-1,0))/OFFSET(GBPUSD[[#This Row],[Price]],-1,0)</f>
        <v>3.1567600862334407E-3</v>
      </c>
    </row>
    <row r="185" spans="4:9" x14ac:dyDescent="0.35">
      <c r="D185" vm="82">
        <f ca="1"/>
        <v>45614</v>
      </c>
      <c r="E185" vm="1221">
        <f ca="1"/>
        <v>1.2676000000000001</v>
      </c>
      <c r="G185" s="1" vm="19">
        <v>45525</v>
      </c>
      <c r="H185" s="4" vm="1317">
        <v>1.3091999999999999</v>
      </c>
      <c r="I185" s="5">
        <f ca="1">(GBPUSD[[#This Row],[Price]]-OFFSET(GBPUSD[[#This Row],[Price]],-1,0))/OFFSET(GBPUSD[[#This Row],[Price]],-1,0)</f>
        <v>4.8353672576559774E-3</v>
      </c>
    </row>
    <row r="186" spans="4:9" x14ac:dyDescent="0.35">
      <c r="D186" vm="83">
        <f ca="1"/>
        <v>45615</v>
      </c>
      <c r="E186" vm="1270">
        <f ca="1"/>
        <v>1.2682</v>
      </c>
      <c r="G186" s="1" vm="20">
        <v>45526</v>
      </c>
      <c r="H186" s="4" vm="1318">
        <v>1.3088</v>
      </c>
      <c r="I186" s="5">
        <f ca="1">(GBPUSD[[#This Row],[Price]]-OFFSET(GBPUSD[[#This Row],[Price]],-1,0))/OFFSET(GBPUSD[[#This Row],[Price]],-1,0)</f>
        <v>-3.0553009471429574E-4</v>
      </c>
    </row>
    <row r="187" spans="4:9" x14ac:dyDescent="0.35">
      <c r="D187" vm="84">
        <f ca="1"/>
        <v>45616</v>
      </c>
      <c r="E187" vm="1275">
        <f ca="1"/>
        <v>1.2649999999999999</v>
      </c>
      <c r="G187" s="1" vm="21">
        <v>45527</v>
      </c>
      <c r="H187" s="4" vm="1319">
        <v>1.3209</v>
      </c>
      <c r="I187" s="5">
        <f ca="1">(GBPUSD[[#This Row],[Price]]-OFFSET(GBPUSD[[#This Row],[Price]],-1,0))/OFFSET(GBPUSD[[#This Row],[Price]],-1,0)</f>
        <v>9.245110024449877E-3</v>
      </c>
    </row>
    <row r="188" spans="4:9" x14ac:dyDescent="0.35">
      <c r="D188" vm="85">
        <f ca="1"/>
        <v>45617</v>
      </c>
      <c r="E188" vm="1375">
        <f ca="1"/>
        <v>1.2585999999999999</v>
      </c>
      <c r="G188" s="1" vm="22">
        <v>45530</v>
      </c>
      <c r="H188" s="4" vm="1320">
        <v>1.319</v>
      </c>
      <c r="I188" s="5">
        <f ca="1">(GBPUSD[[#This Row],[Price]]-OFFSET(GBPUSD[[#This Row],[Price]],-1,0))/OFFSET(GBPUSD[[#This Row],[Price]],-1,0)</f>
        <v>-1.4384132031190953E-3</v>
      </c>
    </row>
    <row r="189" spans="4:9" x14ac:dyDescent="0.35">
      <c r="D189" vm="86">
        <f ca="1"/>
        <v>45618</v>
      </c>
      <c r="E189" vm="1223">
        <f ca="1"/>
        <v>1.2531000000000001</v>
      </c>
      <c r="G189" s="1" vm="23">
        <v>45531</v>
      </c>
      <c r="H189" s="4" vm="1321">
        <v>1.3254999999999999</v>
      </c>
      <c r="I189" s="5">
        <f ca="1">(GBPUSD[[#This Row],[Price]]-OFFSET(GBPUSD[[#This Row],[Price]],-1,0))/OFFSET(GBPUSD[[#This Row],[Price]],-1,0)</f>
        <v>4.9279757391963233E-3</v>
      </c>
    </row>
    <row r="190" spans="4:9" x14ac:dyDescent="0.35">
      <c r="D190" vm="87">
        <f ca="1"/>
        <v>45621</v>
      </c>
      <c r="E190" vm="1376">
        <f ca="1"/>
        <v>1.2566999999999999</v>
      </c>
      <c r="G190" s="1" vm="24">
        <v>45532</v>
      </c>
      <c r="H190" s="4" vm="1320">
        <v>1.319</v>
      </c>
      <c r="I190" s="5">
        <f ca="1">(GBPUSD[[#This Row],[Price]]-OFFSET(GBPUSD[[#This Row],[Price]],-1,0))/OFFSET(GBPUSD[[#This Row],[Price]],-1,0)</f>
        <v>-4.9038098830629581E-3</v>
      </c>
    </row>
    <row r="191" spans="4:9" x14ac:dyDescent="0.35">
      <c r="D191" vm="88">
        <f ca="1"/>
        <v>45622</v>
      </c>
      <c r="E191" vm="1377">
        <f ca="1"/>
        <v>1.2567999999999999</v>
      </c>
      <c r="G191" s="1" vm="25">
        <v>45533</v>
      </c>
      <c r="H191" s="4" vm="1322">
        <v>1.3168</v>
      </c>
      <c r="I191" s="5">
        <f ca="1">(GBPUSD[[#This Row],[Price]]-OFFSET(GBPUSD[[#This Row],[Price]],-1,0))/OFFSET(GBPUSD[[#This Row],[Price]],-1,0)</f>
        <v>-1.6679302501895223E-3</v>
      </c>
    </row>
    <row r="192" spans="4:9" x14ac:dyDescent="0.35">
      <c r="D192" vm="89">
        <f ca="1"/>
        <v>45623</v>
      </c>
      <c r="E192" vm="1378">
        <f ca="1"/>
        <v>1.2678</v>
      </c>
      <c r="G192" s="1" vm="26">
        <v>45534</v>
      </c>
      <c r="H192" s="4" vm="1323">
        <v>1.3126</v>
      </c>
      <c r="I192" s="5">
        <f ca="1">(GBPUSD[[#This Row],[Price]]-OFFSET(GBPUSD[[#This Row],[Price]],-1,0))/OFFSET(GBPUSD[[#This Row],[Price]],-1,0)</f>
        <v>-3.1895504252733762E-3</v>
      </c>
    </row>
    <row r="193" spans="4:9" x14ac:dyDescent="0.35">
      <c r="D193" vm="90">
        <f ca="1"/>
        <v>45624</v>
      </c>
      <c r="E193" vm="1233">
        <f ca="1"/>
        <v>1.2686999999999999</v>
      </c>
      <c r="G193" s="1" vm="27">
        <v>45537</v>
      </c>
      <c r="H193" s="4" vm="1324">
        <v>1.3149</v>
      </c>
      <c r="I193" s="5">
        <f ca="1">(GBPUSD[[#This Row],[Price]]-OFFSET(GBPUSD[[#This Row],[Price]],-1,0))/OFFSET(GBPUSD[[#This Row],[Price]],-1,0)</f>
        <v>1.7522474478134762E-3</v>
      </c>
    </row>
    <row r="194" spans="4:9" x14ac:dyDescent="0.35">
      <c r="D194" vm="489">
        <f ca="1"/>
        <v>45625</v>
      </c>
      <c r="E194" vm="1379">
        <f ca="1"/>
        <v>1.2737000000000001</v>
      </c>
      <c r="G194" s="1" vm="28">
        <v>45538</v>
      </c>
      <c r="H194" s="4" vm="1325">
        <v>1.3110999999999999</v>
      </c>
      <c r="I194" s="5">
        <f ca="1">(GBPUSD[[#This Row],[Price]]-OFFSET(GBPUSD[[#This Row],[Price]],-1,0))/OFFSET(GBPUSD[[#This Row],[Price]],-1,0)</f>
        <v>-2.8899536086394598E-3</v>
      </c>
    </row>
    <row r="195" spans="4:9" x14ac:dyDescent="0.35">
      <c r="D195" vm="490">
        <f ca="1"/>
        <v>45628</v>
      </c>
      <c r="E195" vm="1285">
        <f ca="1"/>
        <v>1.2655000000000001</v>
      </c>
      <c r="G195" s="1" vm="29">
        <v>45539</v>
      </c>
      <c r="H195" s="4" vm="1326">
        <v>1.3142</v>
      </c>
      <c r="I195" s="5">
        <f ca="1">(GBPUSD[[#This Row],[Price]]-OFFSET(GBPUSD[[#This Row],[Price]],-1,0))/OFFSET(GBPUSD[[#This Row],[Price]],-1,0)</f>
        <v>2.3644268171764951E-3</v>
      </c>
    </row>
    <row r="196" spans="4:9" x14ac:dyDescent="0.35">
      <c r="D196" vm="492">
        <f ca="1"/>
        <v>45629</v>
      </c>
      <c r="E196" vm="1380">
        <f ca="1"/>
        <v>1.2669999999999999</v>
      </c>
      <c r="G196" s="1" vm="30">
        <v>45540</v>
      </c>
      <c r="H196" s="4" vm="1327">
        <v>1.3174999999999999</v>
      </c>
      <c r="I196" s="5">
        <f ca="1">(GBPUSD[[#This Row],[Price]]-OFFSET(GBPUSD[[#This Row],[Price]],-1,0))/OFFSET(GBPUSD[[#This Row],[Price]],-1,0)</f>
        <v>2.5110333282604312E-3</v>
      </c>
    </row>
    <row r="197" spans="4:9" x14ac:dyDescent="0.35">
      <c r="D197" vm="493">
        <f ca="1"/>
        <v>45630</v>
      </c>
      <c r="E197" vm="1238">
        <f ca="1"/>
        <v>1.2702</v>
      </c>
      <c r="G197" s="1" vm="31">
        <v>45541</v>
      </c>
      <c r="H197" s="4" vm="1328">
        <v>1.3123</v>
      </c>
      <c r="I197" s="5">
        <f ca="1">(GBPUSD[[#This Row],[Price]]-OFFSET(GBPUSD[[#This Row],[Price]],-1,0))/OFFSET(GBPUSD[[#This Row],[Price]],-1,0)</f>
        <v>-3.946869070208631E-3</v>
      </c>
    </row>
    <row r="198" spans="4:9" x14ac:dyDescent="0.35">
      <c r="D198" vm="495">
        <f ca="1"/>
        <v>45631</v>
      </c>
      <c r="E198" vm="1381">
        <f ca="1"/>
        <v>1.2758</v>
      </c>
      <c r="G198" s="1" vm="32">
        <v>45544</v>
      </c>
      <c r="H198" s="4" vm="1329">
        <v>1.3071999999999999</v>
      </c>
      <c r="I198" s="5">
        <f ca="1">(GBPUSD[[#This Row],[Price]]-OFFSET(GBPUSD[[#This Row],[Price]],-1,0))/OFFSET(GBPUSD[[#This Row],[Price]],-1,0)</f>
        <v>-3.8863064847977631E-3</v>
      </c>
    </row>
    <row r="199" spans="4:9" x14ac:dyDescent="0.35">
      <c r="D199" vm="497">
        <f ca="1"/>
        <v>45632</v>
      </c>
      <c r="E199" vm="1245">
        <f ca="1"/>
        <v>1.2742</v>
      </c>
      <c r="G199" s="1" vm="33">
        <v>45545</v>
      </c>
      <c r="H199" s="4" vm="1330">
        <v>1.3079000000000001</v>
      </c>
      <c r="I199" s="5">
        <f ca="1">(GBPUSD[[#This Row],[Price]]-OFFSET(GBPUSD[[#This Row],[Price]],-1,0))/OFFSET(GBPUSD[[#This Row],[Price]],-1,0)</f>
        <v>5.3549571603438259E-4</v>
      </c>
    </row>
    <row r="200" spans="4:9" x14ac:dyDescent="0.35">
      <c r="D200" vm="499">
        <f ca="1"/>
        <v>45635</v>
      </c>
      <c r="E200" vm="1382">
        <f ca="1"/>
        <v>1.2748999999999999</v>
      </c>
      <c r="G200" s="1" vm="34">
        <v>45546</v>
      </c>
      <c r="H200" s="4" vm="1331">
        <v>1.3043</v>
      </c>
      <c r="I200" s="5">
        <f ca="1">(GBPUSD[[#This Row],[Price]]-OFFSET(GBPUSD[[#This Row],[Price]],-1,0))/OFFSET(GBPUSD[[#This Row],[Price]],-1,0)</f>
        <v>-2.7525040140683899E-3</v>
      </c>
    </row>
    <row r="201" spans="4:9" x14ac:dyDescent="0.35">
      <c r="D201" vm="501">
        <f ca="1"/>
        <v>45636</v>
      </c>
      <c r="E201" vm="1383">
        <f ca="1"/>
        <v>1.2767999999999999</v>
      </c>
      <c r="G201" s="1" vm="35">
        <v>45547</v>
      </c>
      <c r="H201" s="4" vm="1328">
        <v>1.3123</v>
      </c>
      <c r="I201" s="5">
        <f ca="1">(GBPUSD[[#This Row],[Price]]-OFFSET(GBPUSD[[#This Row],[Price]],-1,0))/OFFSET(GBPUSD[[#This Row],[Price]],-1,0)</f>
        <v>6.1335582304684558E-3</v>
      </c>
    </row>
    <row r="202" spans="4:9" x14ac:dyDescent="0.35">
      <c r="D202" vm="503">
        <f ca="1"/>
        <v>45637</v>
      </c>
      <c r="E202" vm="1384">
        <f ca="1"/>
        <v>1.2749999999999999</v>
      </c>
      <c r="G202" s="1" vm="36">
        <v>45548</v>
      </c>
      <c r="H202" s="4" vm="1332">
        <v>1.3122</v>
      </c>
      <c r="I202" s="5">
        <f ca="1">(GBPUSD[[#This Row],[Price]]-OFFSET(GBPUSD[[#This Row],[Price]],-1,0))/OFFSET(GBPUSD[[#This Row],[Price]],-1,0)</f>
        <v>-7.6202087937201086E-5</v>
      </c>
    </row>
    <row r="203" spans="4:9" x14ac:dyDescent="0.35">
      <c r="D203" vm="505">
        <f ca="1"/>
        <v>45638</v>
      </c>
      <c r="E203" vm="1380">
        <f ca="1"/>
        <v>1.2669999999999999</v>
      </c>
      <c r="G203" s="1" vm="37">
        <v>45551</v>
      </c>
      <c r="H203" s="4" vm="1333">
        <v>1.3216000000000001</v>
      </c>
      <c r="I203" s="5">
        <f ca="1">(GBPUSD[[#This Row],[Price]]-OFFSET(GBPUSD[[#This Row],[Price]],-1,0))/OFFSET(GBPUSD[[#This Row],[Price]],-1,0)</f>
        <v>7.163542142966068E-3</v>
      </c>
    </row>
    <row r="204" spans="4:9" x14ac:dyDescent="0.35">
      <c r="D204" vm="507">
        <f ca="1"/>
        <v>45639</v>
      </c>
      <c r="E204" vm="1183">
        <f ca="1"/>
        <v>1.2618</v>
      </c>
      <c r="G204" s="1" vm="38">
        <v>45552</v>
      </c>
      <c r="H204" s="4" vm="1334">
        <v>1.3160000000000001</v>
      </c>
      <c r="I204" s="5">
        <f ca="1">(GBPUSD[[#This Row],[Price]]-OFFSET(GBPUSD[[#This Row],[Price]],-1,0))/OFFSET(GBPUSD[[#This Row],[Price]],-1,0)</f>
        <v>-4.2372881355932576E-3</v>
      </c>
    </row>
    <row r="205" spans="4:9" x14ac:dyDescent="0.35">
      <c r="D205" vm="509">
        <f ca="1"/>
        <v>45642</v>
      </c>
      <c r="E205" vm="1385">
        <f ca="1"/>
        <v>1.2681</v>
      </c>
      <c r="G205" s="1" vm="39">
        <v>45553</v>
      </c>
      <c r="H205" s="4" vm="1335">
        <v>1.3211999999999999</v>
      </c>
      <c r="I205" s="5">
        <f ca="1">(GBPUSD[[#This Row],[Price]]-OFFSET(GBPUSD[[#This Row],[Price]],-1,0))/OFFSET(GBPUSD[[#This Row],[Price]],-1,0)</f>
        <v>3.9513677811549176E-3</v>
      </c>
    </row>
    <row r="206" spans="4:9" x14ac:dyDescent="0.35">
      <c r="D206" vm="511">
        <f ca="1"/>
        <v>45643</v>
      </c>
      <c r="E206" vm="1386">
        <f ca="1"/>
        <v>1.2709999999999999</v>
      </c>
      <c r="G206" s="1" vm="40">
        <v>45554</v>
      </c>
      <c r="H206" s="4" vm="1336">
        <v>1.3284</v>
      </c>
      <c r="I206" s="5">
        <f ca="1">(GBPUSD[[#This Row],[Price]]-OFFSET(GBPUSD[[#This Row],[Price]],-1,0))/OFFSET(GBPUSD[[#This Row],[Price]],-1,0)</f>
        <v>5.4495912806540236E-3</v>
      </c>
    </row>
    <row r="207" spans="4:9" x14ac:dyDescent="0.35">
      <c r="D207" vm="513">
        <f ca="1"/>
        <v>45644</v>
      </c>
      <c r="E207" vm="1387">
        <f ca="1"/>
        <v>1.2573000000000001</v>
      </c>
      <c r="G207" s="1" vm="41">
        <v>45555</v>
      </c>
      <c r="H207" s="4" vm="1337">
        <v>1.3321000000000001</v>
      </c>
      <c r="I207" s="5">
        <f ca="1">(GBPUSD[[#This Row],[Price]]-OFFSET(GBPUSD[[#This Row],[Price]],-1,0))/OFFSET(GBPUSD[[#This Row],[Price]],-1,0)</f>
        <v>2.7853056308341138E-3</v>
      </c>
    </row>
    <row r="208" spans="4:9" x14ac:dyDescent="0.35">
      <c r="D208" vm="515">
        <f ca="1"/>
        <v>45645</v>
      </c>
      <c r="E208" vm="1388">
        <f ca="1"/>
        <v>1.2499</v>
      </c>
      <c r="G208" s="1" vm="42">
        <v>45558</v>
      </c>
      <c r="H208" s="4" vm="1338">
        <v>1.3346</v>
      </c>
      <c r="I208" s="5">
        <f ca="1">(GBPUSD[[#This Row],[Price]]-OFFSET(GBPUSD[[#This Row],[Price]],-1,0))/OFFSET(GBPUSD[[#This Row],[Price]],-1,0)</f>
        <v>1.8767359807821834E-3</v>
      </c>
    </row>
    <row r="209" spans="4:9" x14ac:dyDescent="0.35">
      <c r="D209" vm="517">
        <f ca="1"/>
        <v>45646</v>
      </c>
      <c r="E209" vm="1389">
        <f ca="1"/>
        <v>1.2568999999999999</v>
      </c>
      <c r="G209" s="1" vm="43">
        <v>45559</v>
      </c>
      <c r="H209" s="4" vm="1339">
        <v>1.3411999999999999</v>
      </c>
      <c r="I209" s="5">
        <f ca="1">(GBPUSD[[#This Row],[Price]]-OFFSET(GBPUSD[[#This Row],[Price]],-1,0))/OFFSET(GBPUSD[[#This Row],[Price]],-1,0)</f>
        <v>4.9453019631349763E-3</v>
      </c>
    </row>
    <row r="210" spans="4:9" x14ac:dyDescent="0.35">
      <c r="D210" vm="519">
        <f ca="1"/>
        <v>45649</v>
      </c>
      <c r="E210" vm="1390">
        <f ca="1"/>
        <v>1.2533000000000001</v>
      </c>
      <c r="G210" s="1" vm="44">
        <v>45560</v>
      </c>
      <c r="H210" s="4" vm="1340">
        <v>1.3323</v>
      </c>
      <c r="I210" s="5">
        <f ca="1">(GBPUSD[[#This Row],[Price]]-OFFSET(GBPUSD[[#This Row],[Price]],-1,0))/OFFSET(GBPUSD[[#This Row],[Price]],-1,0)</f>
        <v>-6.6358484938860039E-3</v>
      </c>
    </row>
    <row r="211" spans="4:9" x14ac:dyDescent="0.35">
      <c r="D211" vm="520">
        <f ca="1"/>
        <v>45650</v>
      </c>
      <c r="E211" vm="1391">
        <f ca="1"/>
        <v>1.2542</v>
      </c>
      <c r="G211" s="1" vm="45">
        <v>45561</v>
      </c>
      <c r="H211" s="4" vm="1341">
        <v>1.3414999999999999</v>
      </c>
      <c r="I211" s="5">
        <f ca="1">(GBPUSD[[#This Row],[Price]]-OFFSET(GBPUSD[[#This Row],[Price]],-1,0))/OFFSET(GBPUSD[[#This Row],[Price]],-1,0)</f>
        <v>6.9053516475267394E-3</v>
      </c>
    </row>
    <row r="212" spans="4:9" x14ac:dyDescent="0.35">
      <c r="D212" vm="522">
        <f ca="1"/>
        <v>45651</v>
      </c>
      <c r="E212" vm="1179">
        <f ca="1"/>
        <v>1.2553000000000001</v>
      </c>
      <c r="G212" s="1" vm="46">
        <v>45562</v>
      </c>
      <c r="H212" s="4" vm="1342">
        <v>1.3372999999999999</v>
      </c>
      <c r="I212" s="5">
        <f ca="1">(GBPUSD[[#This Row],[Price]]-OFFSET(GBPUSD[[#This Row],[Price]],-1,0))/OFFSET(GBPUSD[[#This Row],[Price]],-1,0)</f>
        <v>-3.130823704808037E-3</v>
      </c>
    </row>
    <row r="213" spans="4:9" x14ac:dyDescent="0.35">
      <c r="D213" vm="524">
        <f ca="1"/>
        <v>45652</v>
      </c>
      <c r="E213" vm="1246">
        <f ca="1"/>
        <v>1.2524999999999999</v>
      </c>
      <c r="G213" s="1" vm="47">
        <v>45565</v>
      </c>
      <c r="H213" s="4" vm="1343">
        <v>1.337</v>
      </c>
      <c r="I213" s="5">
        <f ca="1">(GBPUSD[[#This Row],[Price]]-OFFSET(GBPUSD[[#This Row],[Price]],-1,0))/OFFSET(GBPUSD[[#This Row],[Price]],-1,0)</f>
        <v>-2.2433261048378597E-4</v>
      </c>
    </row>
    <row r="214" spans="4:9" x14ac:dyDescent="0.35">
      <c r="D214" vm="526">
        <f ca="1"/>
        <v>45653</v>
      </c>
      <c r="E214" vm="1392">
        <f ca="1"/>
        <v>1.2579</v>
      </c>
      <c r="G214" s="1" vm="48">
        <v>45566</v>
      </c>
      <c r="H214" s="4" vm="1344">
        <v>1.3285</v>
      </c>
      <c r="I214" s="5">
        <f ca="1">(GBPUSD[[#This Row],[Price]]-OFFSET(GBPUSD[[#This Row],[Price]],-1,0))/OFFSET(GBPUSD[[#This Row],[Price]],-1,0)</f>
        <v>-6.3575168287209813E-3</v>
      </c>
    </row>
    <row r="215" spans="4:9" x14ac:dyDescent="0.35">
      <c r="D215" vm="528">
        <f ca="1"/>
        <v>45656</v>
      </c>
      <c r="E215" vm="1393">
        <f ca="1"/>
        <v>1.2551000000000001</v>
      </c>
      <c r="G215" s="1" vm="49">
        <v>45567</v>
      </c>
      <c r="H215" s="4" vm="1345">
        <v>1.3267</v>
      </c>
      <c r="I215" s="5">
        <f ca="1">(GBPUSD[[#This Row],[Price]]-OFFSET(GBPUSD[[#This Row],[Price]],-1,0))/OFFSET(GBPUSD[[#This Row],[Price]],-1,0)</f>
        <v>-1.3549115543846622E-3</v>
      </c>
    </row>
    <row r="216" spans="4:9" x14ac:dyDescent="0.35">
      <c r="D216" vm="530">
        <f ca="1"/>
        <v>45657</v>
      </c>
      <c r="E216" vm="1394">
        <f ca="1"/>
        <v>1.2511000000000001</v>
      </c>
      <c r="G216" s="1" vm="50">
        <v>45568</v>
      </c>
      <c r="H216" s="4" vm="1346">
        <v>1.3124</v>
      </c>
      <c r="I216" s="5">
        <f ca="1">(GBPUSD[[#This Row],[Price]]-OFFSET(GBPUSD[[#This Row],[Price]],-1,0))/OFFSET(GBPUSD[[#This Row],[Price]],-1,0)</f>
        <v>-1.0778623652672029E-2</v>
      </c>
    </row>
    <row r="217" spans="4:9" x14ac:dyDescent="0.35">
      <c r="D217" vm="531">
        <f ca="1"/>
        <v>45658</v>
      </c>
      <c r="E217" vm="1395">
        <f ca="1"/>
        <v>1.2517</v>
      </c>
      <c r="G217" s="1" vm="51">
        <v>45569</v>
      </c>
      <c r="H217" s="4" vm="1347">
        <v>1.3116000000000001</v>
      </c>
      <c r="I217" s="5">
        <f ca="1">(GBPUSD[[#This Row],[Price]]-OFFSET(GBPUSD[[#This Row],[Price]],-1,0))/OFFSET(GBPUSD[[#This Row],[Price]],-1,0)</f>
        <v>-6.0957025297158783E-4</v>
      </c>
    </row>
    <row r="218" spans="4:9" x14ac:dyDescent="0.35">
      <c r="D218" vm="533">
        <f ca="1"/>
        <v>45659</v>
      </c>
      <c r="E218" vm="1396">
        <f ca="1"/>
        <v>1.238</v>
      </c>
      <c r="G218" s="1" vm="52">
        <v>45572</v>
      </c>
      <c r="H218" s="4" vm="1348">
        <v>1.3083</v>
      </c>
      <c r="I218" s="5">
        <f ca="1">(GBPUSD[[#This Row],[Price]]-OFFSET(GBPUSD[[#This Row],[Price]],-1,0))/OFFSET(GBPUSD[[#This Row],[Price]],-1,0)</f>
        <v>-2.5160109789570603E-3</v>
      </c>
    </row>
    <row r="219" spans="4:9" x14ac:dyDescent="0.35">
      <c r="D219" vm="535">
        <f ca="1"/>
        <v>45660</v>
      </c>
      <c r="E219" vm="1397">
        <f ca="1"/>
        <v>1.242</v>
      </c>
      <c r="G219" s="1" vm="53">
        <v>45573</v>
      </c>
      <c r="H219" s="4" vm="1349">
        <v>1.3104</v>
      </c>
      <c r="I219" s="5">
        <f ca="1">(GBPUSD[[#This Row],[Price]]-OFFSET(GBPUSD[[#This Row],[Price]],-1,0))/OFFSET(GBPUSD[[#This Row],[Price]],-1,0)</f>
        <v>1.6051364365971036E-3</v>
      </c>
    </row>
    <row r="220" spans="4:9" x14ac:dyDescent="0.35">
      <c r="D220" vm="537">
        <f ca="1"/>
        <v>45663</v>
      </c>
      <c r="E220" vm="1395">
        <f ca="1"/>
        <v>1.2517</v>
      </c>
      <c r="G220" s="1" vm="54">
        <v>45574</v>
      </c>
      <c r="H220" s="4" vm="1350">
        <v>1.3069999999999999</v>
      </c>
      <c r="I220" s="5">
        <f ca="1">(GBPUSD[[#This Row],[Price]]-OFFSET(GBPUSD[[#This Row],[Price]],-1,0))/OFFSET(GBPUSD[[#This Row],[Price]],-1,0)</f>
        <v>-2.5946275946276479E-3</v>
      </c>
    </row>
    <row r="221" spans="4:9" x14ac:dyDescent="0.35">
      <c r="D221" vm="538">
        <f ca="1"/>
        <v>45664</v>
      </c>
      <c r="E221" vm="1398">
        <f ca="1"/>
        <v>1.2473000000000001</v>
      </c>
      <c r="G221" s="1" vm="55">
        <v>45575</v>
      </c>
      <c r="H221" s="4" vm="1351">
        <v>1.3058000000000001</v>
      </c>
      <c r="I221" s="5">
        <f ca="1">(GBPUSD[[#This Row],[Price]]-OFFSET(GBPUSD[[#This Row],[Price]],-1,0))/OFFSET(GBPUSD[[#This Row],[Price]],-1,0)</f>
        <v>-9.1813312930364799E-4</v>
      </c>
    </row>
    <row r="222" spans="4:9" x14ac:dyDescent="0.35">
      <c r="D222" vm="540">
        <f ca="1"/>
        <v>45665</v>
      </c>
      <c r="E222" vm="1399">
        <f ca="1"/>
        <v>1.2362</v>
      </c>
      <c r="G222" s="1" vm="56">
        <v>45576</v>
      </c>
      <c r="H222" s="4" vm="1352">
        <v>1.3066</v>
      </c>
      <c r="I222" s="5">
        <f ca="1">(GBPUSD[[#This Row],[Price]]-OFFSET(GBPUSD[[#This Row],[Price]],-1,0))/OFFSET(GBPUSD[[#This Row],[Price]],-1,0)</f>
        <v>6.1265124827685087E-4</v>
      </c>
    </row>
    <row r="223" spans="4:9" x14ac:dyDescent="0.35">
      <c r="D223" vm="542">
        <f ca="1"/>
        <v>45666</v>
      </c>
      <c r="E223" vm="1400">
        <f ca="1"/>
        <v>1.2303999999999999</v>
      </c>
      <c r="G223" s="1" vm="57">
        <v>45579</v>
      </c>
      <c r="H223" s="4" vm="1353">
        <v>1.3059000000000001</v>
      </c>
      <c r="I223" s="5">
        <f ca="1">(GBPUSD[[#This Row],[Price]]-OFFSET(GBPUSD[[#This Row],[Price]],-1,0))/OFFSET(GBPUSD[[#This Row],[Price]],-1,0)</f>
        <v>-5.357416194703221E-4</v>
      </c>
    </row>
    <row r="224" spans="4:9" x14ac:dyDescent="0.35">
      <c r="D224" vm="544">
        <f ca="1"/>
        <v>45667</v>
      </c>
      <c r="E224" vm="1401">
        <f ca="1"/>
        <v>1.2203999999999999</v>
      </c>
      <c r="G224" s="1" vm="58">
        <v>45580</v>
      </c>
      <c r="H224" s="4" vm="1329">
        <v>1.3071999999999999</v>
      </c>
      <c r="I224" s="5">
        <f ca="1">(GBPUSD[[#This Row],[Price]]-OFFSET(GBPUSD[[#This Row],[Price]],-1,0))/OFFSET(GBPUSD[[#This Row],[Price]],-1,0)</f>
        <v>9.9548204303534483E-4</v>
      </c>
    </row>
    <row r="225" spans="4:9" x14ac:dyDescent="0.35">
      <c r="D225" vm="546">
        <f ca="1"/>
        <v>45670</v>
      </c>
      <c r="E225" vm="1402">
        <f ca="1"/>
        <v>1.22</v>
      </c>
      <c r="G225" s="1" vm="59">
        <v>45581</v>
      </c>
      <c r="H225" s="4" vm="1354">
        <v>1.2989999999999999</v>
      </c>
      <c r="I225" s="5">
        <f ca="1">(GBPUSD[[#This Row],[Price]]-OFFSET(GBPUSD[[#This Row],[Price]],-1,0))/OFFSET(GBPUSD[[#This Row],[Price]],-1,0)</f>
        <v>-6.2729498164014576E-3</v>
      </c>
    </row>
    <row r="226" spans="4:9" x14ac:dyDescent="0.35">
      <c r="D226" vm="548">
        <f ca="1"/>
        <v>45671</v>
      </c>
      <c r="E226" vm="1403">
        <f ca="1"/>
        <v>1.2215</v>
      </c>
      <c r="G226" s="1" vm="60">
        <v>45582</v>
      </c>
      <c r="H226" s="4" vm="1355">
        <v>1.3009999999999999</v>
      </c>
      <c r="I226" s="5">
        <f ca="1">(GBPUSD[[#This Row],[Price]]-OFFSET(GBPUSD[[#This Row],[Price]],-1,0))/OFFSET(GBPUSD[[#This Row],[Price]],-1,0)</f>
        <v>1.5396458814472685E-3</v>
      </c>
    </row>
    <row r="227" spans="4:9" x14ac:dyDescent="0.35">
      <c r="D227" vm="550">
        <f ca="1"/>
        <v>45672</v>
      </c>
      <c r="E227" vm="1404">
        <f ca="1"/>
        <v>1.224</v>
      </c>
      <c r="G227" s="1" vm="61">
        <v>45583</v>
      </c>
      <c r="H227" s="4" vm="1356">
        <v>1.3048</v>
      </c>
      <c r="I227" s="5">
        <f ca="1">(GBPUSD[[#This Row],[Price]]-OFFSET(GBPUSD[[#This Row],[Price]],-1,0))/OFFSET(GBPUSD[[#This Row],[Price]],-1,0)</f>
        <v>2.9208301306687364E-3</v>
      </c>
    </row>
    <row r="228" spans="4:9" x14ac:dyDescent="0.35">
      <c r="D228" vm="552">
        <f ca="1"/>
        <v>45673</v>
      </c>
      <c r="E228" vm="1405">
        <f ca="1"/>
        <v>1.2239</v>
      </c>
      <c r="G228" s="1" vm="62">
        <v>45586</v>
      </c>
      <c r="H228" s="4" vm="1357">
        <v>1.2984</v>
      </c>
      <c r="I228" s="5">
        <f ca="1">(GBPUSD[[#This Row],[Price]]-OFFSET(GBPUSD[[#This Row],[Price]],-1,0))/OFFSET(GBPUSD[[#This Row],[Price]],-1,0)</f>
        <v>-4.9049662783568065E-3</v>
      </c>
    </row>
    <row r="229" spans="4:9" x14ac:dyDescent="0.35">
      <c r="D229" vm="554">
        <f ca="1"/>
        <v>45674</v>
      </c>
      <c r="E229" vm="1406">
        <f ca="1"/>
        <v>1.2162999999999999</v>
      </c>
      <c r="G229" s="1" vm="63">
        <v>45587</v>
      </c>
      <c r="H229" s="4" vm="1358">
        <v>1.2983</v>
      </c>
      <c r="I229" s="5">
        <f ca="1">(GBPUSD[[#This Row],[Price]]-OFFSET(GBPUSD[[#This Row],[Price]],-1,0))/OFFSET(GBPUSD[[#This Row],[Price]],-1,0)</f>
        <v>-7.7017868145401255E-5</v>
      </c>
    </row>
    <row r="230" spans="4:9" x14ac:dyDescent="0.35">
      <c r="D230" vm="556">
        <f ca="1"/>
        <v>45677</v>
      </c>
      <c r="E230" vm="1407">
        <f ca="1"/>
        <v>1.2323</v>
      </c>
      <c r="G230" s="1" vm="64">
        <v>45588</v>
      </c>
      <c r="H230" s="4" vm="1359">
        <v>1.292</v>
      </c>
      <c r="I230" s="5">
        <f ca="1">(GBPUSD[[#This Row],[Price]]-OFFSET(GBPUSD[[#This Row],[Price]],-1,0))/OFFSET(GBPUSD[[#This Row],[Price]],-1,0)</f>
        <v>-4.8524994223214761E-3</v>
      </c>
    </row>
    <row r="231" spans="4:9" x14ac:dyDescent="0.35">
      <c r="D231" vm="558">
        <f ca="1"/>
        <v>45678</v>
      </c>
      <c r="E231" vm="1408">
        <f ca="1"/>
        <v>1.2354000000000001</v>
      </c>
      <c r="G231" s="1" vm="65">
        <v>45589</v>
      </c>
      <c r="H231" s="4" vm="1360">
        <v>1.2971999999999999</v>
      </c>
      <c r="I231" s="5">
        <f ca="1">(GBPUSD[[#This Row],[Price]]-OFFSET(GBPUSD[[#This Row],[Price]],-1,0))/OFFSET(GBPUSD[[#This Row],[Price]],-1,0)</f>
        <v>4.0247678018574852E-3</v>
      </c>
    </row>
    <row r="232" spans="4:9" x14ac:dyDescent="0.35">
      <c r="D232" vm="560">
        <f ca="1"/>
        <v>45679</v>
      </c>
      <c r="E232" vm="1409">
        <f ca="1"/>
        <v>1.2316</v>
      </c>
      <c r="G232" s="1" vm="66">
        <v>45590</v>
      </c>
      <c r="H232" s="4" vm="1361">
        <v>1.2959000000000001</v>
      </c>
      <c r="I232" s="5">
        <f ca="1">(GBPUSD[[#This Row],[Price]]-OFFSET(GBPUSD[[#This Row],[Price]],-1,0))/OFFSET(GBPUSD[[#This Row],[Price]],-1,0)</f>
        <v>-1.0021584952203647E-3</v>
      </c>
    </row>
    <row r="233" spans="4:9" x14ac:dyDescent="0.35">
      <c r="D233" vm="562">
        <f ca="1"/>
        <v>45680</v>
      </c>
      <c r="E233" vm="1410">
        <f ca="1"/>
        <v>1.2352000000000001</v>
      </c>
      <c r="G233" s="1" vm="67">
        <v>45593</v>
      </c>
      <c r="H233" s="4" vm="1362">
        <v>1.2970999999999999</v>
      </c>
      <c r="I233" s="5">
        <f ca="1">(GBPUSD[[#This Row],[Price]]-OFFSET(GBPUSD[[#This Row],[Price]],-1,0))/OFFSET(GBPUSD[[#This Row],[Price]],-1,0)</f>
        <v>9.2599737634066503E-4</v>
      </c>
    </row>
    <row r="234" spans="4:9" x14ac:dyDescent="0.35">
      <c r="D234" vm="564">
        <f ca="1"/>
        <v>45681</v>
      </c>
      <c r="E234" vm="1411">
        <f ca="1"/>
        <v>1.2479</v>
      </c>
      <c r="G234" s="1" vm="68">
        <v>45594</v>
      </c>
      <c r="H234" s="4" vm="1363">
        <v>1.3015000000000001</v>
      </c>
      <c r="I234" s="5">
        <f ca="1">(GBPUSD[[#This Row],[Price]]-OFFSET(GBPUSD[[#This Row],[Price]],-1,0))/OFFSET(GBPUSD[[#This Row],[Price]],-1,0)</f>
        <v>3.3921825610979737E-3</v>
      </c>
    </row>
    <row r="235" spans="4:9" x14ac:dyDescent="0.35">
      <c r="D235" vm="566">
        <f ca="1"/>
        <v>45684</v>
      </c>
      <c r="E235" vm="1253">
        <f ca="1"/>
        <v>1.2496</v>
      </c>
      <c r="G235" s="1" vm="69">
        <v>45595</v>
      </c>
      <c r="H235" s="4" vm="1364">
        <v>1.2962</v>
      </c>
      <c r="I235" s="5">
        <f ca="1">(GBPUSD[[#This Row],[Price]]-OFFSET(GBPUSD[[#This Row],[Price]],-1,0))/OFFSET(GBPUSD[[#This Row],[Price]],-1,0)</f>
        <v>-4.0722243565117803E-3</v>
      </c>
    </row>
    <row r="236" spans="4:9" x14ac:dyDescent="0.35">
      <c r="D236" vm="568">
        <f ca="1"/>
        <v>45685</v>
      </c>
      <c r="E236" vm="1412">
        <f ca="1"/>
        <v>1.2441</v>
      </c>
      <c r="G236" s="1" vm="70">
        <v>45596</v>
      </c>
      <c r="H236" s="4" vm="1365">
        <v>1.2898000000000001</v>
      </c>
      <c r="I236" s="5">
        <f ca="1">(GBPUSD[[#This Row],[Price]]-OFFSET(GBPUSD[[#This Row],[Price]],-1,0))/OFFSET(GBPUSD[[#This Row],[Price]],-1,0)</f>
        <v>-4.9375096435734928E-3</v>
      </c>
    </row>
    <row r="237" spans="4:9" x14ac:dyDescent="0.35">
      <c r="D237" vm="570">
        <f ca="1"/>
        <v>45686</v>
      </c>
      <c r="E237" vm="1413">
        <f ca="1"/>
        <v>1.2446999999999999</v>
      </c>
      <c r="G237" s="1" vm="71">
        <v>45597</v>
      </c>
      <c r="H237" s="4" vm="1366">
        <v>1.2926</v>
      </c>
      <c r="I237" s="5">
        <f ca="1">(GBPUSD[[#This Row],[Price]]-OFFSET(GBPUSD[[#This Row],[Price]],-1,0))/OFFSET(GBPUSD[[#This Row],[Price]],-1,0)</f>
        <v>2.1708792060783949E-3</v>
      </c>
    </row>
    <row r="238" spans="4:9" x14ac:dyDescent="0.35">
      <c r="D238" vm="572">
        <f ca="1"/>
        <v>45687</v>
      </c>
      <c r="E238" vm="1414">
        <f ca="1"/>
        <v>1.2415</v>
      </c>
      <c r="G238" s="1" vm="72">
        <v>45600</v>
      </c>
      <c r="H238" s="4" vm="1367">
        <v>1.2957000000000001</v>
      </c>
      <c r="I238" s="5">
        <f ca="1">(GBPUSD[[#This Row],[Price]]-OFFSET(GBPUSD[[#This Row],[Price]],-1,0))/OFFSET(GBPUSD[[#This Row],[Price]],-1,0)</f>
        <v>2.3982670586415772E-3</v>
      </c>
    </row>
    <row r="239" spans="4:9" x14ac:dyDescent="0.35">
      <c r="D239" vm="574">
        <f ca="1"/>
        <v>45688</v>
      </c>
      <c r="E239" vm="1415">
        <f ca="1"/>
        <v>1.2390000000000001</v>
      </c>
      <c r="G239" s="1" vm="73">
        <v>45601</v>
      </c>
      <c r="H239" s="4" vm="1368">
        <v>1.3041</v>
      </c>
      <c r="I239" s="5">
        <f ca="1">(GBPUSD[[#This Row],[Price]]-OFFSET(GBPUSD[[#This Row],[Price]],-1,0))/OFFSET(GBPUSD[[#This Row],[Price]],-1,0)</f>
        <v>6.4829821717989986E-3</v>
      </c>
    </row>
    <row r="240" spans="4:9" x14ac:dyDescent="0.35">
      <c r="D240" vm="576">
        <f ca="1"/>
        <v>45691</v>
      </c>
      <c r="E240" vm="1225">
        <f ca="1"/>
        <v>1.2450000000000001</v>
      </c>
      <c r="G240" s="1" vm="74">
        <v>45602</v>
      </c>
      <c r="H240" s="4" vm="1369">
        <v>1.2878000000000001</v>
      </c>
      <c r="I240" s="5">
        <f ca="1">(GBPUSD[[#This Row],[Price]]-OFFSET(GBPUSD[[#This Row],[Price]],-1,0))/OFFSET(GBPUSD[[#This Row],[Price]],-1,0)</f>
        <v>-1.2499041484548716E-2</v>
      </c>
    </row>
    <row r="241" spans="4:9" x14ac:dyDescent="0.35">
      <c r="D241" vm="578">
        <f ca="1"/>
        <v>45692</v>
      </c>
      <c r="E241" vm="1411">
        <f ca="1"/>
        <v>1.2479</v>
      </c>
      <c r="G241" s="1" vm="75">
        <v>45603</v>
      </c>
      <c r="H241" s="4" vm="1370">
        <v>1.2986</v>
      </c>
      <c r="I241" s="5">
        <f ca="1">(GBPUSD[[#This Row],[Price]]-OFFSET(GBPUSD[[#This Row],[Price]],-1,0))/OFFSET(GBPUSD[[#This Row],[Price]],-1,0)</f>
        <v>8.3863954030128276E-3</v>
      </c>
    </row>
    <row r="242" spans="4:9" x14ac:dyDescent="0.35">
      <c r="D242" vm="580">
        <f ca="1"/>
        <v>45693</v>
      </c>
      <c r="E242" vm="1416">
        <f ca="1"/>
        <v>1.2505999999999999</v>
      </c>
      <c r="G242" s="1" vm="76">
        <v>45604</v>
      </c>
      <c r="H242" s="4" vm="1371">
        <v>1.2921</v>
      </c>
      <c r="I242" s="5">
        <f ca="1">(GBPUSD[[#This Row],[Price]]-OFFSET(GBPUSD[[#This Row],[Price]],-1,0))/OFFSET(GBPUSD[[#This Row],[Price]],-1,0)</f>
        <v>-5.005390420452757E-3</v>
      </c>
    </row>
    <row r="243" spans="4:9" x14ac:dyDescent="0.35">
      <c r="D243" vm="582">
        <f ca="1"/>
        <v>45694</v>
      </c>
      <c r="E243" vm="1417">
        <f ca="1"/>
        <v>1.2434000000000001</v>
      </c>
      <c r="G243" s="1" vm="77">
        <v>45607</v>
      </c>
      <c r="H243" s="4" vm="1372">
        <v>1.2868999999999999</v>
      </c>
      <c r="I243" s="5">
        <f ca="1">(GBPUSD[[#This Row],[Price]]-OFFSET(GBPUSD[[#This Row],[Price]],-1,0))/OFFSET(GBPUSD[[#This Row],[Price]],-1,0)</f>
        <v>-4.0244563114310763E-3</v>
      </c>
    </row>
    <row r="244" spans="4:9" x14ac:dyDescent="0.35">
      <c r="D244" vm="584">
        <f ca="1"/>
        <v>45695</v>
      </c>
      <c r="E244" vm="1418">
        <f ca="1"/>
        <v>1.2408999999999999</v>
      </c>
      <c r="G244" s="1" vm="78">
        <v>45608</v>
      </c>
      <c r="H244" s="4" vm="1217">
        <v>1.2746999999999999</v>
      </c>
      <c r="I244" s="5">
        <f ca="1">(GBPUSD[[#This Row],[Price]]-OFFSET(GBPUSD[[#This Row],[Price]],-1,0))/OFFSET(GBPUSD[[#This Row],[Price]],-1,0)</f>
        <v>-9.4801460874970774E-3</v>
      </c>
    </row>
    <row r="245" spans="4:9" x14ac:dyDescent="0.35">
      <c r="D245" vm="586">
        <f ca="1"/>
        <v>45698</v>
      </c>
      <c r="E245" vm="1419">
        <f ca="1"/>
        <v>1.2365999999999999</v>
      </c>
      <c r="G245" s="1" vm="79">
        <v>45609</v>
      </c>
      <c r="H245" s="4" vm="1277">
        <v>1.2703</v>
      </c>
      <c r="I245" s="5">
        <f ca="1">(GBPUSD[[#This Row],[Price]]-OFFSET(GBPUSD[[#This Row],[Price]],-1,0))/OFFSET(GBPUSD[[#This Row],[Price]],-1,0)</f>
        <v>-3.4517925786459241E-3</v>
      </c>
    </row>
    <row r="246" spans="4:9" x14ac:dyDescent="0.35">
      <c r="D246" vm="588">
        <f ca="1"/>
        <v>45699</v>
      </c>
      <c r="E246" vm="1420">
        <f ca="1"/>
        <v>1.2443</v>
      </c>
      <c r="G246" s="1" vm="80">
        <v>45610</v>
      </c>
      <c r="H246" s="4" vm="1373">
        <v>1.2665</v>
      </c>
      <c r="I246" s="5">
        <f ca="1">(GBPUSD[[#This Row],[Price]]-OFFSET(GBPUSD[[#This Row],[Price]],-1,0))/OFFSET(GBPUSD[[#This Row],[Price]],-1,0)</f>
        <v>-2.9914193497599193E-3</v>
      </c>
    </row>
    <row r="247" spans="4:9" x14ac:dyDescent="0.35">
      <c r="D247" vm="590">
        <f ca="1"/>
        <v>45700</v>
      </c>
      <c r="E247" vm="1421">
        <f ca="1"/>
        <v>1.2442</v>
      </c>
      <c r="G247" s="1" vm="81">
        <v>45611</v>
      </c>
      <c r="H247" s="4" vm="1374">
        <v>1.2617</v>
      </c>
      <c r="I247" s="5">
        <f ca="1">(GBPUSD[[#This Row],[Price]]-OFFSET(GBPUSD[[#This Row],[Price]],-1,0))/OFFSET(GBPUSD[[#This Row],[Price]],-1,0)</f>
        <v>-3.7899723647847735E-3</v>
      </c>
    </row>
    <row r="248" spans="4:9" x14ac:dyDescent="0.35">
      <c r="D248" vm="592">
        <f ca="1"/>
        <v>45701</v>
      </c>
      <c r="E248" vm="1260">
        <f ca="1"/>
        <v>1.2565</v>
      </c>
      <c r="G248" s="1" vm="82">
        <v>45614</v>
      </c>
      <c r="H248" s="4" vm="1221">
        <v>1.2676000000000001</v>
      </c>
      <c r="I248" s="5">
        <f ca="1">(GBPUSD[[#This Row],[Price]]-OFFSET(GBPUSD[[#This Row],[Price]],-1,0))/OFFSET(GBPUSD[[#This Row],[Price]],-1,0)</f>
        <v>4.6762304826821087E-3</v>
      </c>
    </row>
    <row r="249" spans="4:9" x14ac:dyDescent="0.35">
      <c r="D249" vm="594">
        <f ca="1"/>
        <v>45702</v>
      </c>
      <c r="E249" vm="1422">
        <f ca="1"/>
        <v>1.2585</v>
      </c>
      <c r="G249" s="1" vm="83">
        <v>45615</v>
      </c>
      <c r="H249" s="4" vm="1270">
        <v>1.2682</v>
      </c>
      <c r="I249" s="5">
        <f ca="1">(GBPUSD[[#This Row],[Price]]-OFFSET(GBPUSD[[#This Row],[Price]],-1,0))/OFFSET(GBPUSD[[#This Row],[Price]],-1,0)</f>
        <v>4.7333543704633474E-4</v>
      </c>
    </row>
    <row r="250" spans="4:9" x14ac:dyDescent="0.35">
      <c r="D250" vm="596">
        <f ca="1"/>
        <v>45705</v>
      </c>
      <c r="E250" vm="1208">
        <f ca="1"/>
        <v>1.2623</v>
      </c>
      <c r="G250" s="1" vm="84">
        <v>45616</v>
      </c>
      <c r="H250" s="4" vm="1275">
        <v>1.2649999999999999</v>
      </c>
      <c r="I250" s="5">
        <f ca="1">(GBPUSD[[#This Row],[Price]]-OFFSET(GBPUSD[[#This Row],[Price]],-1,0))/OFFSET(GBPUSD[[#This Row],[Price]],-1,0)</f>
        <v>-2.5232613152500328E-3</v>
      </c>
    </row>
    <row r="251" spans="4:9" x14ac:dyDescent="0.35">
      <c r="D251" vm="598">
        <f ca="1"/>
        <v>45706</v>
      </c>
      <c r="E251" vm="1423">
        <f ca="1"/>
        <v>1.2611000000000001</v>
      </c>
      <c r="G251" s="1" vm="85">
        <v>45617</v>
      </c>
      <c r="H251" s="4" vm="1375">
        <v>1.2585999999999999</v>
      </c>
      <c r="I251" s="5">
        <f ca="1">(GBPUSD[[#This Row],[Price]]-OFFSET(GBPUSD[[#This Row],[Price]],-1,0))/OFFSET(GBPUSD[[#This Row],[Price]],-1,0)</f>
        <v>-5.0592885375493769E-3</v>
      </c>
    </row>
    <row r="252" spans="4:9" x14ac:dyDescent="0.35">
      <c r="D252" vm="600">
        <f ca="1"/>
        <v>45707</v>
      </c>
      <c r="E252" vm="1422">
        <f ca="1"/>
        <v>1.2585</v>
      </c>
      <c r="G252" s="1" vm="86">
        <v>45618</v>
      </c>
      <c r="H252" s="4" vm="1223">
        <v>1.2531000000000001</v>
      </c>
      <c r="I252" s="5">
        <f ca="1">(GBPUSD[[#This Row],[Price]]-OFFSET(GBPUSD[[#This Row],[Price]],-1,0))/OFFSET(GBPUSD[[#This Row],[Price]],-1,0)</f>
        <v>-4.3699348482439523E-3</v>
      </c>
    </row>
    <row r="253" spans="4:9" x14ac:dyDescent="0.35">
      <c r="D253" vm="602">
        <f ca="1"/>
        <v>45708</v>
      </c>
      <c r="E253" vm="1424">
        <f ca="1"/>
        <v>1.2667999999999999</v>
      </c>
      <c r="G253" s="1" vm="87">
        <v>45621</v>
      </c>
      <c r="H253" s="4" vm="1376">
        <v>1.2566999999999999</v>
      </c>
      <c r="I253" s="5">
        <f ca="1">(GBPUSD[[#This Row],[Price]]-OFFSET(GBPUSD[[#This Row],[Price]],-1,0))/OFFSET(GBPUSD[[#This Row],[Price]],-1,0)</f>
        <v>2.872875269331917E-3</v>
      </c>
    </row>
    <row r="254" spans="4:9" x14ac:dyDescent="0.35">
      <c r="D254" vm="604">
        <f ca="1"/>
        <v>45709</v>
      </c>
      <c r="E254" vm="1247">
        <f ca="1"/>
        <v>1.2629999999999999</v>
      </c>
      <c r="G254" s="1" vm="88">
        <v>45622</v>
      </c>
      <c r="H254" s="4" vm="1377">
        <v>1.2567999999999999</v>
      </c>
      <c r="I254" s="5">
        <f ca="1">(GBPUSD[[#This Row],[Price]]-OFFSET(GBPUSD[[#This Row],[Price]],-1,0))/OFFSET(GBPUSD[[#This Row],[Price]],-1,0)</f>
        <v>7.9573486114417917E-5</v>
      </c>
    </row>
    <row r="255" spans="4:9" x14ac:dyDescent="0.35">
      <c r="D255" vm="605">
        <f ca="1"/>
        <v>45712</v>
      </c>
      <c r="E255" vm="1425">
        <f ca="1"/>
        <v>1.2624</v>
      </c>
      <c r="G255" s="1" vm="89">
        <v>45623</v>
      </c>
      <c r="H255" s="4" vm="1378">
        <v>1.2678</v>
      </c>
      <c r="I255" s="5">
        <f ca="1">(GBPUSD[[#This Row],[Price]]-OFFSET(GBPUSD[[#This Row],[Price]],-1,0))/OFFSET(GBPUSD[[#This Row],[Price]],-1,0)</f>
        <v>8.7523870146404524E-3</v>
      </c>
    </row>
    <row r="256" spans="4:9" x14ac:dyDescent="0.35">
      <c r="G256" s="1" vm="90">
        <v>45624</v>
      </c>
      <c r="H256" s="4" vm="1233">
        <v>1.2686999999999999</v>
      </c>
      <c r="I256" s="5">
        <f ca="1">(GBPUSD[[#This Row],[Price]]-OFFSET(GBPUSD[[#This Row],[Price]],-1,0))/OFFSET(GBPUSD[[#This Row],[Price]],-1,0)</f>
        <v>7.0989115002358485E-4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VaR90</vt:lpstr>
      <vt:lpstr>VaR252</vt:lpstr>
      <vt:lpstr>USDJPY</vt:lpstr>
      <vt:lpstr>EURUSD</vt:lpstr>
      <vt:lpstr>SGDJPY</vt:lpstr>
      <vt:lpstr>GBPUSD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Mins273</dc:creator>
  <cp:lastModifiedBy>#ONG KHAI BOON#</cp:lastModifiedBy>
  <dcterms:created xsi:type="dcterms:W3CDTF">2015-06-05T18:17:20Z</dcterms:created>
  <dcterms:modified xsi:type="dcterms:W3CDTF">2025-02-25T17:10:47Z</dcterms:modified>
</cp:coreProperties>
</file>